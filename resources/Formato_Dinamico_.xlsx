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1017209574\Desktop\Digital\activos-propios-py\resources\"/>
    </mc:Choice>
  </mc:AlternateContent>
  <xr:revisionPtr revIDLastSave="0" documentId="13_ncr:1_{F3BC101D-0F83-4FF7-BF36-7E5EA2A9DFB9}" xr6:coauthVersionLast="47" xr6:coauthVersionMax="47" xr10:uidLastSave="{00000000-0000-0000-0000-000000000000}"/>
  <bookViews>
    <workbookView xWindow="28680" yWindow="-120" windowWidth="29040" windowHeight="15720" activeTab="8" xr2:uid="{CA7242B3-F58B-4D52-905C-F122405A1A29}"/>
  </bookViews>
  <sheets>
    <sheet name="Sociedades" sheetId="7" r:id="rId1"/>
    <sheet name="Clase" sheetId="1" r:id="rId2"/>
    <sheet name="Criterio " sheetId="2" r:id="rId3"/>
    <sheet name="Ceco" sheetId="3" r:id="rId4"/>
    <sheet name="Emplazamiento" sheetId="4" r:id="rId5"/>
    <sheet name="_ListasClase" sheetId="8" r:id="rId6"/>
    <sheet name="_Requeridos" sheetId="9" r:id="rId7"/>
    <sheet name="Check list" sheetId="11" r:id="rId8"/>
    <sheet name="Formato" sheetId="5" r:id="rId9"/>
    <sheet name="LSMW " sheetId="12" r:id="rId10"/>
  </sheets>
  <definedNames>
    <definedName name="_xlnm._FilterDatabase" localSheetId="3" hidden="1">Ceco!$A$1:$D$346</definedName>
    <definedName name="_xlnm._FilterDatabase" localSheetId="8" hidden="1">Formato!$A$10:$A$231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2" l="1"/>
  <c r="AX2" i="12"/>
  <c r="AW2" i="12"/>
  <c r="AV2" i="12"/>
  <c r="AR2" i="12"/>
  <c r="AM2" i="12"/>
  <c r="AK2" i="12"/>
  <c r="AJ2" i="12"/>
  <c r="X2" i="12"/>
  <c r="I2" i="12"/>
  <c r="C25" i="11"/>
  <c r="C34" i="11"/>
  <c r="F2" i="12"/>
  <c r="C2" i="12"/>
  <c r="B2" i="12"/>
  <c r="AY2" i="12"/>
  <c r="AS2" i="12"/>
  <c r="AN2" i="12"/>
  <c r="AL2" i="12"/>
  <c r="AB2" i="12"/>
  <c r="W2" i="12"/>
  <c r="T2" i="12"/>
  <c r="R2" i="12"/>
  <c r="Q2" i="12"/>
  <c r="H2" i="12"/>
  <c r="G2" i="12"/>
  <c r="Q2" i="8" l="1" a="1"/>
  <c r="Q2" i="8" s="1"/>
  <c r="AJ87" i="5" l="1"/>
  <c r="AJ86" i="5"/>
  <c r="AJ85" i="5"/>
  <c r="AJ84" i="5"/>
  <c r="AJ83" i="5"/>
  <c r="AJ82" i="5"/>
  <c r="AJ81" i="5"/>
  <c r="AJ80" i="5"/>
  <c r="AJ79" i="5"/>
  <c r="AJ78" i="5"/>
  <c r="AJ77" i="5"/>
  <c r="AJ76" i="5"/>
  <c r="AJ75" i="5"/>
  <c r="AJ74" i="5"/>
  <c r="AJ73" i="5"/>
  <c r="AJ72" i="5"/>
  <c r="AJ71" i="5"/>
  <c r="AJ70" i="5"/>
  <c r="AJ69" i="5"/>
  <c r="AJ68" i="5"/>
  <c r="AJ67" i="5"/>
  <c r="AJ66" i="5"/>
  <c r="AJ65" i="5"/>
  <c r="AJ64" i="5"/>
  <c r="AJ63" i="5"/>
  <c r="AJ62" i="5"/>
  <c r="AJ61" i="5"/>
  <c r="AJ60" i="5"/>
  <c r="AJ59" i="5"/>
  <c r="AJ58" i="5"/>
  <c r="AJ57" i="5"/>
  <c r="AJ56" i="5"/>
  <c r="AJ55" i="5"/>
  <c r="AJ54" i="5"/>
  <c r="AJ53" i="5"/>
  <c r="AJ52" i="5"/>
  <c r="AJ51" i="5"/>
  <c r="AJ50" i="5"/>
  <c r="AJ49" i="5"/>
  <c r="AJ48" i="5"/>
  <c r="AJ47" i="5"/>
  <c r="AJ46" i="5"/>
  <c r="AJ45" i="5"/>
  <c r="AJ44" i="5"/>
  <c r="AJ43" i="5"/>
  <c r="AJ42" i="5"/>
  <c r="AJ41" i="5"/>
  <c r="AJ40" i="5"/>
  <c r="AJ39" i="5"/>
  <c r="AJ38" i="5"/>
  <c r="AJ37" i="5"/>
  <c r="AJ36" i="5"/>
  <c r="AJ35" i="5"/>
  <c r="AJ34" i="5"/>
  <c r="AJ33" i="5"/>
  <c r="AJ32" i="5"/>
  <c r="AJ31" i="5"/>
  <c r="AJ30" i="5"/>
  <c r="AJ29" i="5"/>
  <c r="AJ28" i="5"/>
  <c r="AJ27" i="5"/>
  <c r="AJ26" i="5"/>
  <c r="AJ25" i="5"/>
  <c r="AJ24" i="5"/>
  <c r="AJ23" i="5"/>
  <c r="AD87" i="5"/>
  <c r="AD86" i="5"/>
  <c r="AD85" i="5"/>
  <c r="AD84" i="5"/>
  <c r="AD83" i="5"/>
  <c r="AD82" i="5"/>
  <c r="AD81" i="5"/>
  <c r="AD80" i="5"/>
  <c r="AD79" i="5"/>
  <c r="AD78" i="5"/>
  <c r="AD77" i="5"/>
  <c r="AD76" i="5"/>
  <c r="AD75" i="5"/>
  <c r="AD74" i="5"/>
  <c r="AD73" i="5"/>
  <c r="AD72" i="5"/>
  <c r="AD71" i="5"/>
  <c r="AD70" i="5"/>
  <c r="AD69" i="5"/>
  <c r="AD68" i="5"/>
  <c r="AD67" i="5"/>
  <c r="AD66" i="5"/>
  <c r="AD65" i="5"/>
  <c r="AD64" i="5"/>
  <c r="AD63" i="5"/>
  <c r="AD62" i="5"/>
  <c r="AD61" i="5"/>
  <c r="AD60" i="5"/>
  <c r="AD59" i="5"/>
  <c r="AD58" i="5"/>
  <c r="AD57" i="5"/>
  <c r="AD56" i="5"/>
  <c r="AD55" i="5"/>
  <c r="AD54" i="5"/>
  <c r="AD53" i="5"/>
  <c r="AD52" i="5"/>
  <c r="AD51" i="5"/>
  <c r="AD50" i="5"/>
  <c r="AD49" i="5"/>
  <c r="AD48" i="5"/>
  <c r="AD47" i="5"/>
  <c r="AD46" i="5"/>
  <c r="AD45" i="5"/>
  <c r="AD44" i="5"/>
  <c r="AD43" i="5"/>
  <c r="AD42" i="5"/>
  <c r="AD41" i="5"/>
  <c r="AD40" i="5"/>
  <c r="AD39" i="5"/>
  <c r="AD38" i="5"/>
  <c r="AD37" i="5"/>
  <c r="AD36" i="5"/>
  <c r="AD35" i="5"/>
  <c r="AD34" i="5"/>
  <c r="AD33" i="5"/>
  <c r="AD32" i="5"/>
  <c r="AD31" i="5"/>
  <c r="AD30" i="5"/>
  <c r="AD29" i="5"/>
  <c r="AD28" i="5"/>
  <c r="AD27" i="5"/>
  <c r="AD26" i="5"/>
  <c r="AD25" i="5"/>
  <c r="AD24" i="5"/>
  <c r="AD23" i="5"/>
  <c r="AD22" i="5"/>
  <c r="U2" i="12" s="1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O2" i="8" a="1"/>
  <c r="O2" i="8" s="1"/>
  <c r="M2" i="8" a="1"/>
  <c r="M2" i="8" s="1"/>
  <c r="K2" i="8" a="1"/>
  <c r="K2" i="8" s="1"/>
  <c r="I2" i="8" a="1"/>
  <c r="I2" i="8" s="1"/>
  <c r="G2" i="8" a="1"/>
  <c r="G2" i="8" s="1"/>
  <c r="E2" i="8" a="1"/>
  <c r="E2" i="8" s="1"/>
  <c r="C2" i="8" a="1"/>
  <c r="C2" i="8" s="1"/>
  <c r="A2" i="8" a="1"/>
  <c r="A2" i="8" s="1"/>
  <c r="AJ22" i="5" l="1"/>
  <c r="A2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SARA BIBIANA VÁSQUEZ AGUIRRE</author>
  </authors>
  <commentList>
    <comment ref="C277" authorId="0" shapeId="0" xr:uid="{30965815-CD02-40FD-9482-BEC792F398B5}">
      <text>
        <r>
          <rPr>
            <b/>
            <sz val="9"/>
            <color indexed="81"/>
            <rFont val="Tahoma"/>
            <family val="2"/>
          </rPr>
          <t>SARA BIBIANA VÁSQUEZ AGUIRRE:</t>
        </r>
        <r>
          <rPr>
            <sz val="9"/>
            <color indexed="81"/>
            <rFont val="Tahoma"/>
            <family val="2"/>
          </rPr>
          <t xml:space="preserve">
Solo se utiliza para compra de SAP.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SARA BIBIANA VÁSQUEZ AGUIRRE</author>
  </authors>
  <commentList>
    <comment ref="H89" authorId="0" shapeId="0" xr:uid="{D23804DB-DBCD-4593-ADF3-F4363B6AB9C1}">
      <text>
        <r>
          <rPr>
            <b/>
            <sz val="9"/>
            <color indexed="81"/>
            <rFont val="Tahoma"/>
            <family val="2"/>
          </rPr>
          <t>SARA BIBIANA VÁSQUEZ AGUIRRE:</t>
        </r>
        <r>
          <rPr>
            <sz val="9"/>
            <color indexed="81"/>
            <rFont val="Tahoma"/>
            <family val="2"/>
          </rPr>
          <t xml:space="preserve">
Son los activos que se reporta a la ANI - Estos son los que estan ubicados dentro de la vía que nosotros estamos operando y manteniendo. Cuando se termine el contrato de la concesión en el 2040 (Si no hay renovación) Estos activos se deben devolver. Principalmente </t>
        </r>
      </text>
    </comment>
    <comment ref="H91" authorId="0" shapeId="0" xr:uid="{D8F9F8AC-0ABB-4319-86FD-9B2EE6C834B0}">
      <text>
        <r>
          <rPr>
            <b/>
            <sz val="9"/>
            <color indexed="81"/>
            <rFont val="Tahoma"/>
            <family val="2"/>
          </rPr>
          <t>SARA BIBIANA VÁSQUEZ AGUIRRE:</t>
        </r>
        <r>
          <rPr>
            <sz val="9"/>
            <color indexed="81"/>
            <rFont val="Tahoma"/>
            <family val="2"/>
          </rPr>
          <t xml:space="preserve">
Estado Activo y no reporte ANI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<sst xmlns="http://schemas.openxmlformats.org/spreadsheetml/2006/main" count="7717" uniqueCount="1518">
  <si>
    <t xml:space="preserve">Sociedad </t>
  </si>
  <si>
    <t xml:space="preserve">Clase </t>
  </si>
  <si>
    <t xml:space="preserve">Descripción Clase </t>
  </si>
  <si>
    <t>ITCH</t>
  </si>
  <si>
    <t>3A050200</t>
  </si>
  <si>
    <t>Terrenos Rurales</t>
  </si>
  <si>
    <t>3A400100</t>
  </si>
  <si>
    <t>Edificios</t>
  </si>
  <si>
    <t>3A400201</t>
  </si>
  <si>
    <t>Leasing Financiero - Edificaciones</t>
  </si>
  <si>
    <t>3A400202</t>
  </si>
  <si>
    <t>Leasing Financiero - Edificaciones Relacion</t>
  </si>
  <si>
    <t>3A451210</t>
  </si>
  <si>
    <t>Equipos de Subestación Nueva Estruc 40 Años</t>
  </si>
  <si>
    <t>3A451211</t>
  </si>
  <si>
    <t>Equipos de Subestación Nueva Estruc 38 Años</t>
  </si>
  <si>
    <t>3A451212</t>
  </si>
  <si>
    <t>Equipos de Subestación Nueva Estruc 32 Años</t>
  </si>
  <si>
    <t>3A451213</t>
  </si>
  <si>
    <t>Equipos de Subestación Nueva Estruc 30 Años</t>
  </si>
  <si>
    <t>3A451214</t>
  </si>
  <si>
    <t>Equipos de Subestación Nueva Estruc 27 Años</t>
  </si>
  <si>
    <t>3A451215</t>
  </si>
  <si>
    <t>Equipos de Subestación Nueva Estruc 25 Años</t>
  </si>
  <si>
    <t>3A451216</t>
  </si>
  <si>
    <t>Equipos de Subestación Nueva Estruc 20 Años</t>
  </si>
  <si>
    <t>3A451217</t>
  </si>
  <si>
    <t>Equipos de Subestación Nueva Estruc 15 Años</t>
  </si>
  <si>
    <t>3A451218</t>
  </si>
  <si>
    <t>Equipos de Subestación Nueva Estruc 39 Años</t>
  </si>
  <si>
    <t>3A451219</t>
  </si>
  <si>
    <t>Equipos de Subestación Nueva Estruc 18 Años</t>
  </si>
  <si>
    <t>3A451220</t>
  </si>
  <si>
    <t>Equipos de Subestación Nueva Estruc 10 Años</t>
  </si>
  <si>
    <t>3A461200</t>
  </si>
  <si>
    <t>Equipos de SUB Telecomunicaciones</t>
  </si>
  <si>
    <t>3A500800</t>
  </si>
  <si>
    <t>Lineas y Cables de Transmision</t>
  </si>
  <si>
    <t>3A550400</t>
  </si>
  <si>
    <t>Maquinaria Industrial</t>
  </si>
  <si>
    <t>3A551100</t>
  </si>
  <si>
    <t>Herramientas y Accesorios</t>
  </si>
  <si>
    <t>3A650100</t>
  </si>
  <si>
    <t>Muebles, Enseres</t>
  </si>
  <si>
    <t>3A650200</t>
  </si>
  <si>
    <t>Equipos y Maquinaria de Oficina</t>
  </si>
  <si>
    <t>3A700100</t>
  </si>
  <si>
    <t>Equipo de Comunicacion</t>
  </si>
  <si>
    <t>3A700200</t>
  </si>
  <si>
    <t>Equipo de Computo</t>
  </si>
  <si>
    <t>3A700211</t>
  </si>
  <si>
    <t>Equipo de Computo Arrendado</t>
  </si>
  <si>
    <t>3A750200</t>
  </si>
  <si>
    <t>Vehiculos Terrestres</t>
  </si>
  <si>
    <t>3A750300</t>
  </si>
  <si>
    <t>Leasing Financiero - Vehículos Terrestre</t>
  </si>
  <si>
    <t>3F709001</t>
  </si>
  <si>
    <t>Servidumbres, en construcción</t>
  </si>
  <si>
    <t>3F710801</t>
  </si>
  <si>
    <t>Intangibles - Software</t>
  </si>
  <si>
    <t>3F710900</t>
  </si>
  <si>
    <t>Intangibles - Servidumbres</t>
  </si>
  <si>
    <t>3F710901</t>
  </si>
  <si>
    <t>Intangibles - Derecho de Uso</t>
  </si>
  <si>
    <t>TRAN</t>
  </si>
  <si>
    <t>A050100</t>
  </si>
  <si>
    <t>Terrenos Urbanos</t>
  </si>
  <si>
    <t>A050101</t>
  </si>
  <si>
    <t>Terrenos Urbanos Leasing</t>
  </si>
  <si>
    <t>A050111</t>
  </si>
  <si>
    <t>Arrendamiento Terrenos Intang</t>
  </si>
  <si>
    <t>A050200</t>
  </si>
  <si>
    <t>A400100</t>
  </si>
  <si>
    <t>A400200</t>
  </si>
  <si>
    <t>Oficinas</t>
  </si>
  <si>
    <t>A400201</t>
  </si>
  <si>
    <t>Arrendamiento Financiero Edificio.</t>
  </si>
  <si>
    <t>A400221</t>
  </si>
  <si>
    <t>Arrendamiento Financiero Edificio Intang</t>
  </si>
  <si>
    <t>A450800</t>
  </si>
  <si>
    <t>Plantas de Telecomunicaciones</t>
  </si>
  <si>
    <t>A451201</t>
  </si>
  <si>
    <t>Equipos de Laboratorio para Subestaciones</t>
  </si>
  <si>
    <t>A451202</t>
  </si>
  <si>
    <t>Arrend Financ Equi Instal Subest_Intang</t>
  </si>
  <si>
    <t>A451203</t>
  </si>
  <si>
    <t>Arrend Financ Equi Instal Subest_Biens</t>
  </si>
  <si>
    <t>A451210</t>
  </si>
  <si>
    <t>Equipos de Subestación Nueva Estructura 40 Años</t>
  </si>
  <si>
    <t>A451211</t>
  </si>
  <si>
    <t>Equipos de Subestación Nueva Estructura 38 Años</t>
  </si>
  <si>
    <t>A451212</t>
  </si>
  <si>
    <t>Equipos de Subestación Nueva Estructura 32Años</t>
  </si>
  <si>
    <t>A451213</t>
  </si>
  <si>
    <t>Equipos de Subestación Nueva Estructura 30 Años</t>
  </si>
  <si>
    <t>A451214</t>
  </si>
  <si>
    <t>Equipos de Subestación Nueva Estructura 27 Años</t>
  </si>
  <si>
    <t>A451215</t>
  </si>
  <si>
    <t>Equipos de Subestación Nueva Estructura 25 Años</t>
  </si>
  <si>
    <t>A451216</t>
  </si>
  <si>
    <t>Equipos de Subestación Nueva Estructura 20 Años</t>
  </si>
  <si>
    <t>A451217</t>
  </si>
  <si>
    <t>Equipos de Subestación Nueva Estructura 15 Años</t>
  </si>
  <si>
    <t>A451218</t>
  </si>
  <si>
    <t>Equipos de Subestación Nueva Estructura 39 Años</t>
  </si>
  <si>
    <t>A451219</t>
  </si>
  <si>
    <t>Equipos de Subestación Nueva Estructura 18 Años</t>
  </si>
  <si>
    <t>A451220</t>
  </si>
  <si>
    <t>Equipos de Subestación Nueva Estructura 35 Años</t>
  </si>
  <si>
    <t>A451221</t>
  </si>
  <si>
    <t>Equipos de Subestación Nueva Estructura 10 Años</t>
  </si>
  <si>
    <t>A451222</t>
  </si>
  <si>
    <t>Equipos de Subestación - Cables de potencia 22A</t>
  </si>
  <si>
    <t>A500800</t>
  </si>
  <si>
    <t>Lineas y Cables de Transmision 40 años</t>
  </si>
  <si>
    <t>A500810</t>
  </si>
  <si>
    <t>Lineas y Cables de Transmision 63 años</t>
  </si>
  <si>
    <t>A500820</t>
  </si>
  <si>
    <t>A500830</t>
  </si>
  <si>
    <t>Lineas y Cables de Transmision 30 años</t>
  </si>
  <si>
    <t>A500840</t>
  </si>
  <si>
    <t>Lineas y Cables de Transmision 20 años</t>
  </si>
  <si>
    <t>A500850</t>
  </si>
  <si>
    <t>Lineas y Cables de Transmision 15 años</t>
  </si>
  <si>
    <t>A500860</t>
  </si>
  <si>
    <t>Lineas y Cables de Transmision 8 años</t>
  </si>
  <si>
    <t>A551100</t>
  </si>
  <si>
    <t>A552000</t>
  </si>
  <si>
    <t>Equipo del Centro de Control</t>
  </si>
  <si>
    <t>A650100</t>
  </si>
  <si>
    <t>A650200</t>
  </si>
  <si>
    <t>A700100</t>
  </si>
  <si>
    <t>A700200</t>
  </si>
  <si>
    <t>A700201</t>
  </si>
  <si>
    <t>Equipo de Computo Arrendado Biens</t>
  </si>
  <si>
    <t>A700211</t>
  </si>
  <si>
    <t>A700212</t>
  </si>
  <si>
    <t>Equipos de Cómputo en arrendamiento financiero</t>
  </si>
  <si>
    <t>A700400</t>
  </si>
  <si>
    <t>Satelites y Antenas</t>
  </si>
  <si>
    <t>A750200</t>
  </si>
  <si>
    <t>A750211</t>
  </si>
  <si>
    <t>Arrend Vehiculo Terrestre Intang</t>
  </si>
  <si>
    <t>C1501011</t>
  </si>
  <si>
    <t>Edificaciones (Costos directos) Ordenes de Inversi</t>
  </si>
  <si>
    <t>C2001011</t>
  </si>
  <si>
    <t>Plantas y ductos en Montaje-Ctos Directos</t>
  </si>
  <si>
    <t>C2002011</t>
  </si>
  <si>
    <t>Redes Lineas  y Cables en Montaje</t>
  </si>
  <si>
    <t>C2005011</t>
  </si>
  <si>
    <t>Eq de Comun y Computo (Costos Directo) Ordenes de</t>
  </si>
  <si>
    <t>F710500</t>
  </si>
  <si>
    <t>Intangibles - Derechos</t>
  </si>
  <si>
    <t>F710501</t>
  </si>
  <si>
    <t>Intangibles - Derechos FO Aportados</t>
  </si>
  <si>
    <t>F710700</t>
  </si>
  <si>
    <t>Intangibles - Licencias</t>
  </si>
  <si>
    <t>F710702</t>
  </si>
  <si>
    <t>Intangibles - Licenc Telco</t>
  </si>
  <si>
    <t>F710801</t>
  </si>
  <si>
    <t>F710900</t>
  </si>
  <si>
    <t>IntaFngibles - Servidumbres</t>
  </si>
  <si>
    <t>ISA</t>
  </si>
  <si>
    <t>A852021</t>
  </si>
  <si>
    <t>Terrenos Urbanos 2</t>
  </si>
  <si>
    <t>A370103</t>
  </si>
  <si>
    <t>Terrenos no explotados - Prop.Inversión</t>
  </si>
  <si>
    <t>C150501</t>
  </si>
  <si>
    <t>Redes, Lineas y Cables (Costos Directos)</t>
  </si>
  <si>
    <t>C150504</t>
  </si>
  <si>
    <t>Redes, Lineas y Cables (Gastos de Adm.Cap. Direc)</t>
  </si>
  <si>
    <t>C150505</t>
  </si>
  <si>
    <t>Redes, Lineas y Cables (Gastos de Adm.Cap. Indirec</t>
  </si>
  <si>
    <t>C150599</t>
  </si>
  <si>
    <t>Redes, Lineas y Cables (Ajustes por Inflacion)</t>
  </si>
  <si>
    <t>C150503</t>
  </si>
  <si>
    <t>Redes, Lineas y Cables (Gastos Financieros)</t>
  </si>
  <si>
    <t>C150506</t>
  </si>
  <si>
    <t>Redes, Lineas y Cables (Comisiones Financieras)</t>
  </si>
  <si>
    <t>C150401</t>
  </si>
  <si>
    <t>Plantas y Ductos (Costos Directos)</t>
  </si>
  <si>
    <t>C150404</t>
  </si>
  <si>
    <t>Plantas y Ductos (Gastos de Adm.Cap. Direc)</t>
  </si>
  <si>
    <t>C150405</t>
  </si>
  <si>
    <t>Plantas y Ductos (Gastos de Adm.Cap. Indirec)</t>
  </si>
  <si>
    <t>C150101</t>
  </si>
  <si>
    <t>Edificaciones (Costos directos)</t>
  </si>
  <si>
    <t>C150499</t>
  </si>
  <si>
    <t>Plantas y Ductos (Ajustes por Inflacion)</t>
  </si>
  <si>
    <t>C150403</t>
  </si>
  <si>
    <t>Plantas y Ductos (Gastos Financieros)</t>
  </si>
  <si>
    <t>C150406</t>
  </si>
  <si>
    <t>Plantas y Ductos (Comisiones Financieras)</t>
  </si>
  <si>
    <t>C1504011</t>
  </si>
  <si>
    <t>Plantas y Ductos (Costos Directos) Saldo inicial</t>
  </si>
  <si>
    <t>C200501</t>
  </si>
  <si>
    <t>Eq de Comun y Computo (Costos Directo)</t>
  </si>
  <si>
    <t>C200503</t>
  </si>
  <si>
    <t>Eq de Comun y Computo (Gastos Financieros)</t>
  </si>
  <si>
    <t>C200504</t>
  </si>
  <si>
    <t>Eq de Comun y Computo (Gastos de Adm.Cap. Direc)</t>
  </si>
  <si>
    <t>C200505</t>
  </si>
  <si>
    <t>Eq de Comun y Computo  (Gastos de Adm.Cap. Ind)</t>
  </si>
  <si>
    <t>C200599</t>
  </si>
  <si>
    <t>Eq de Comun y Computo  (Ajuste por Inflacion)</t>
  </si>
  <si>
    <t>C200506</t>
  </si>
  <si>
    <t>Eq de Comun y Computo (Comisiones Financieras)</t>
  </si>
  <si>
    <t>C1505011</t>
  </si>
  <si>
    <t>Redes, Lineas y Cables (Costos Directos) DP</t>
  </si>
  <si>
    <t>C1505999</t>
  </si>
  <si>
    <t>Redes, Lineas y Cables (Ajustes por Inflacion)DP</t>
  </si>
  <si>
    <t>C1505044</t>
  </si>
  <si>
    <t>Redes, Lineas y Cables(Gastos de Adm.Cap. Direc)DP</t>
  </si>
  <si>
    <t>C1505055</t>
  </si>
  <si>
    <t>Redes,LineasyCables(Gastos de Adm.Cap. Indirec)DP</t>
  </si>
  <si>
    <t>C1505022</t>
  </si>
  <si>
    <t>Redes, Lineas y Cables (Dif. en Cam Obli Finan) DP</t>
  </si>
  <si>
    <t>C1505033</t>
  </si>
  <si>
    <t>Redes, Lineas y Cables (Gastos Financieros) DP</t>
  </si>
  <si>
    <t>C1504022</t>
  </si>
  <si>
    <t>Plantas y Ductos (Dif. en Cambio Obli Finan) DP</t>
  </si>
  <si>
    <t>C1504033</t>
  </si>
  <si>
    <t>Plantas y Ductos (Gastos Financieros) DP</t>
  </si>
  <si>
    <t>C1504044</t>
  </si>
  <si>
    <t>Plantas y Ductos (Gastos de Adm.Cap. Direc) DP</t>
  </si>
  <si>
    <t>C1504055</t>
  </si>
  <si>
    <t>Plantas y Ductos (Gastos de Adm.Cap. Indirec) DP</t>
  </si>
  <si>
    <t>C1504999</t>
  </si>
  <si>
    <t>Plantas y Ductos (Ajustes por Inflacion) DP</t>
  </si>
  <si>
    <t>C2005044</t>
  </si>
  <si>
    <t>Eq de Comun y Computo (Gastos de Adm.Cap. Direc) O</t>
  </si>
  <si>
    <t>C2005055</t>
  </si>
  <si>
    <t>Eq de Comun y Computo  (Gastos de Adm.Cap. Ind) Or</t>
  </si>
  <si>
    <t>C2005999</t>
  </si>
  <si>
    <t>Eq de Comun y Computo  (Ajuste por Inflacion) Orde</t>
  </si>
  <si>
    <t>C2005022</t>
  </si>
  <si>
    <t>Eq de Comun y Computo (Dif. en Cam Obli Finan) Ord</t>
  </si>
  <si>
    <t>C2005033</t>
  </si>
  <si>
    <t>Eq de Comun y Computo (Gastos Financieros) Ordenes</t>
  </si>
  <si>
    <t>C1501999</t>
  </si>
  <si>
    <t>Edificaciones (Ajustes por inflación)Ordenes de In</t>
  </si>
  <si>
    <t>C150104</t>
  </si>
  <si>
    <t>Edificaciones (Gastos de Adm.Cap. Direc)</t>
  </si>
  <si>
    <t>C150105</t>
  </si>
  <si>
    <t>Edificaciones (Gastos de Adm.Cap. Indirec)</t>
  </si>
  <si>
    <t>C2003011</t>
  </si>
  <si>
    <t>Maquinaria y Equipo (Costos Directo)DP</t>
  </si>
  <si>
    <t>C1502011</t>
  </si>
  <si>
    <t>Obr Infraestr Ctos Directos Const Curso</t>
  </si>
  <si>
    <t>C150199</t>
  </si>
  <si>
    <t>Edificaciones (Ajustes por inflación)</t>
  </si>
  <si>
    <t>C2005066</t>
  </si>
  <si>
    <t>Eq de Comun y Computo (Comisiones Financieras)Orde</t>
  </si>
  <si>
    <t>C150402</t>
  </si>
  <si>
    <t>Plantas y Ductos (Dif. en Cambio Obli Finan)</t>
  </si>
  <si>
    <t>C150103</t>
  </si>
  <si>
    <t>Edificaciones (Gastos Financieros)</t>
  </si>
  <si>
    <t>C150106</t>
  </si>
  <si>
    <t>Edificaciones (Comisiones Financieras)</t>
  </si>
  <si>
    <t>C150102</t>
  </si>
  <si>
    <t>Edificaciones ((Dif. en Cambio Obli Finan)</t>
  </si>
  <si>
    <t>C150502</t>
  </si>
  <si>
    <t>Redes, Lineas y Cables (Dif. en Cam Obli Finan)</t>
  </si>
  <si>
    <t>C200502</t>
  </si>
  <si>
    <t>Eq de Comun y Computo (Dif. en Cam Obli Finan)</t>
  </si>
  <si>
    <t>C370202</t>
  </si>
  <si>
    <t>ConstrucCurso-NoExplotRecDaciónPago</t>
  </si>
  <si>
    <t>C2003020</t>
  </si>
  <si>
    <t>Equipos de subestación en construcción</t>
  </si>
  <si>
    <t>C1501010</t>
  </si>
  <si>
    <t>Estructuras y Edificios</t>
  </si>
  <si>
    <t>C1501012</t>
  </si>
  <si>
    <t>LF  Estructuras y Edificios</t>
  </si>
  <si>
    <t>C1599999</t>
  </si>
  <si>
    <t>Activos construcción Provision Proyectos</t>
  </si>
  <si>
    <t>F1089031</t>
  </si>
  <si>
    <t>Estudios para Proyectos (Costos Directos)</t>
  </si>
  <si>
    <t>F1089034</t>
  </si>
  <si>
    <t>Estudios para Proyectos (Gastos de Adm.Cap. Direc)</t>
  </si>
  <si>
    <t>T250100</t>
  </si>
  <si>
    <t>Plantas y Ductos en Transito</t>
  </si>
  <si>
    <t>C2001099</t>
  </si>
  <si>
    <t>Plantas y ductos en Montaje-Ajustes por Inflación</t>
  </si>
  <si>
    <t>D300100</t>
  </si>
  <si>
    <t>B350300</t>
  </si>
  <si>
    <t>Muebles, Enseres y Equipo de Oficina en Bodega</t>
  </si>
  <si>
    <t>B351000</t>
  </si>
  <si>
    <t>Herramienta, Repuestos y Accesorios en Bodega</t>
  </si>
  <si>
    <t>A400300</t>
  </si>
  <si>
    <t>Almacenes</t>
  </si>
  <si>
    <t>A400800</t>
  </si>
  <si>
    <t>Cafeterias y Casinos</t>
  </si>
  <si>
    <t>A402500</t>
  </si>
  <si>
    <t>Casetas</t>
  </si>
  <si>
    <t>A401700</t>
  </si>
  <si>
    <t>Parqueaderos y Garajes</t>
  </si>
  <si>
    <t>A852020</t>
  </si>
  <si>
    <t>Propiedades de Inversion Edificaciones</t>
  </si>
  <si>
    <t>A370311</t>
  </si>
  <si>
    <t>Edificios no explotados</t>
  </si>
  <si>
    <t>A400301</t>
  </si>
  <si>
    <t>LF Almacenes Leasing</t>
  </si>
  <si>
    <t>A401701</t>
  </si>
  <si>
    <t>LF Parqueaderos y Gar. Leasing</t>
  </si>
  <si>
    <t>A451200</t>
  </si>
  <si>
    <t>Equipos de Subestación</t>
  </si>
  <si>
    <t>A501000</t>
  </si>
  <si>
    <t>Lineas y Cables de Telecomunicaciones</t>
  </si>
  <si>
    <t>A550400</t>
  </si>
  <si>
    <t>A700300</t>
  </si>
  <si>
    <t>Lineas Telefonicas</t>
  </si>
  <si>
    <t>F108903</t>
  </si>
  <si>
    <t>Estudios y Proyectos</t>
  </si>
  <si>
    <t>F7009001</t>
  </si>
  <si>
    <t>Servidumbres, en contrucción</t>
  </si>
  <si>
    <t>F101800</t>
  </si>
  <si>
    <t>Concursos y Licitaciones</t>
  </si>
  <si>
    <t>F100800</t>
  </si>
  <si>
    <t>Estudios y Proyectos Amortizables</t>
  </si>
  <si>
    <t>F103100</t>
  </si>
  <si>
    <t>Dcto en bonos deuda publica interna LP</t>
  </si>
  <si>
    <t>E210600</t>
  </si>
  <si>
    <t>Bienes Inmuebles en Comodato (Entregados)</t>
  </si>
  <si>
    <t>E210500</t>
  </si>
  <si>
    <t>Bienes Muebles en Comodato (Entregados)</t>
  </si>
  <si>
    <t>E210700</t>
  </si>
  <si>
    <t>Activos Entregados en Fiducia Mercantil</t>
  </si>
  <si>
    <t>L419004</t>
  </si>
  <si>
    <t>Redes, lineas y Cables de Transmision (Leasing)</t>
  </si>
  <si>
    <t>L419003</t>
  </si>
  <si>
    <t>Subestaciones (Leasing)</t>
  </si>
  <si>
    <t>L410102</t>
  </si>
  <si>
    <t>Terrenos Rurales Leasing</t>
  </si>
  <si>
    <t>L410201</t>
  </si>
  <si>
    <t>Edificios y Casas Leasing</t>
  </si>
  <si>
    <t>F710802</t>
  </si>
  <si>
    <t>Intangibles - Software Especializado</t>
  </si>
  <si>
    <t>F710100</t>
  </si>
  <si>
    <t>Intangibles -Crédito mercantil</t>
  </si>
  <si>
    <t>F710200</t>
  </si>
  <si>
    <t>Intangibles - Marcas</t>
  </si>
  <si>
    <t>V700200</t>
  </si>
  <si>
    <t>Equipo de Computo de Bajo Valor</t>
  </si>
  <si>
    <t>V650100</t>
  </si>
  <si>
    <t>Muebles y Enseres de Bajo Valor</t>
  </si>
  <si>
    <t>V700100</t>
  </si>
  <si>
    <t>Equipo de comunicacion de Bajo Valor</t>
  </si>
  <si>
    <t>V551100</t>
  </si>
  <si>
    <t>Maquinaria y Equipo de Bajo Valor</t>
  </si>
  <si>
    <t>A450801</t>
  </si>
  <si>
    <t>Plantas de Telecomunicaciones - ISA 15 años</t>
  </si>
  <si>
    <t>A450802</t>
  </si>
  <si>
    <t>Plantas de Telecomunicaciones - ISA 10 años</t>
  </si>
  <si>
    <t>F108999</t>
  </si>
  <si>
    <t>Ajus Infl Estudios y Proyectos en Desarrollo</t>
  </si>
  <si>
    <t>F150200</t>
  </si>
  <si>
    <t>Obras y Mejoras en Propiedad Ajena Edificios</t>
  </si>
  <si>
    <t>I1520011</t>
  </si>
  <si>
    <t>Construcciones en Proceso Inventario (CD) AM</t>
  </si>
  <si>
    <t>I152001</t>
  </si>
  <si>
    <t>Construcciones en Proceso Inventario (CD) PS</t>
  </si>
  <si>
    <t>I152004</t>
  </si>
  <si>
    <t>Construcciones en Proceso Inventario (GACD) PS</t>
  </si>
  <si>
    <t>I152003</t>
  </si>
  <si>
    <t>Construcciones en Proceso Inventario (Int) PS</t>
  </si>
  <si>
    <t>I152006</t>
  </si>
  <si>
    <t>Construcciones en Proceso Inventario (Com) PS</t>
  </si>
  <si>
    <t>I152002</t>
  </si>
  <si>
    <t>Construcciones en Proceso Inventario (DC) PS</t>
  </si>
  <si>
    <t>F109003</t>
  </si>
  <si>
    <t>Participación Ciudadana (acciones)</t>
  </si>
  <si>
    <t>F1090031</t>
  </si>
  <si>
    <t>Participación Ciudadana (acciones) Amortizable</t>
  </si>
  <si>
    <t>F119102</t>
  </si>
  <si>
    <t>Gasto Diferido Serv. Telemáticos</t>
  </si>
  <si>
    <t>CABA</t>
  </si>
  <si>
    <t>RC650100</t>
  </si>
  <si>
    <t>RC - Muebles, Enseres</t>
  </si>
  <si>
    <t>RC700200</t>
  </si>
  <si>
    <t>RC - Equipo de Computo</t>
  </si>
  <si>
    <t>RC700201</t>
  </si>
  <si>
    <t>RC - Arrend Computo</t>
  </si>
  <si>
    <t>RC700100</t>
  </si>
  <si>
    <t>RC - Eq. de Comunicacion</t>
  </si>
  <si>
    <t>RC550400</t>
  </si>
  <si>
    <t>RC - Maq. Industrial</t>
  </si>
  <si>
    <t>RC750200</t>
  </si>
  <si>
    <t>RC - Vehic. Terrestres</t>
  </si>
  <si>
    <t>RC550411</t>
  </si>
  <si>
    <t>RC - Maq. Industrial L.R</t>
  </si>
  <si>
    <t>RC750211</t>
  </si>
  <si>
    <t>RC - Arrend VehTerres Int</t>
  </si>
  <si>
    <t>RC750212</t>
  </si>
  <si>
    <t>RC - Arrend VehTerre</t>
  </si>
  <si>
    <t>RC150201</t>
  </si>
  <si>
    <t>RC- Arrendamiento inmuebles</t>
  </si>
  <si>
    <t>RC710700</t>
  </si>
  <si>
    <t>RC Intangibles - Licenc y Software</t>
  </si>
  <si>
    <t>RC710802</t>
  </si>
  <si>
    <t>RC - Intangibles - Software</t>
  </si>
  <si>
    <t>RC551100</t>
  </si>
  <si>
    <t>Sistemas de iluminación</t>
  </si>
  <si>
    <t>RC700402</t>
  </si>
  <si>
    <t>RC Intang Concesión (solo Fiscal)</t>
  </si>
  <si>
    <t>RC700403</t>
  </si>
  <si>
    <t>Pasivo Ingreso Diferido</t>
  </si>
  <si>
    <t>RC900200</t>
  </si>
  <si>
    <t>Seguro - Responsabilidad Civil y Extracontractual</t>
  </si>
  <si>
    <t>RC900201</t>
  </si>
  <si>
    <t>Seguro - Cumplimiento De Contrato</t>
  </si>
  <si>
    <t>RC900202</t>
  </si>
  <si>
    <t>Seguro - Pago Salarios , Prestaciones Sociales</t>
  </si>
  <si>
    <t>RC900203</t>
  </si>
  <si>
    <t>Seguro - Todo Riesgo Construcción</t>
  </si>
  <si>
    <t>RC900204</t>
  </si>
  <si>
    <t>Seguro - Infidelidad De Empleados</t>
  </si>
  <si>
    <t>RC900205</t>
  </si>
  <si>
    <t>Seguro - Pólizas De Vehículos</t>
  </si>
  <si>
    <t>RC900206</t>
  </si>
  <si>
    <t>Seguro - Estabilidad y Calidad De La Obra</t>
  </si>
  <si>
    <t>RC900207</t>
  </si>
  <si>
    <t>Seguro - Calidad De Bienes y Equipos</t>
  </si>
  <si>
    <t>RC900208</t>
  </si>
  <si>
    <t>Seguro - Póliza Multirriesgo</t>
  </si>
  <si>
    <t>RC900209</t>
  </si>
  <si>
    <t>Seguro - Directores y Administradores</t>
  </si>
  <si>
    <t>RC800212</t>
  </si>
  <si>
    <t>Seguro - Seguros Riesgos Ciberneticos</t>
  </si>
  <si>
    <t>RC900210</t>
  </si>
  <si>
    <t>Seguro - Seguros proyectos</t>
  </si>
  <si>
    <t>Criterio 1</t>
  </si>
  <si>
    <t>Asignación Criterio de Clasificación 1</t>
  </si>
  <si>
    <t>Criterio 2</t>
  </si>
  <si>
    <t>Asignación Criterio de Clasificación 2</t>
  </si>
  <si>
    <t>Criterio 3</t>
  </si>
  <si>
    <t>Asignación Criterio de Clasificación 3</t>
  </si>
  <si>
    <t>Criterio 4</t>
  </si>
  <si>
    <t>Asignación Criterio de Clasificación 4</t>
  </si>
  <si>
    <t>Criterio 5</t>
  </si>
  <si>
    <t>Asignación Criterio de Clasificación 5</t>
  </si>
  <si>
    <t>IC01</t>
  </si>
  <si>
    <t>LT 2X500 KV Carrdones-Polpaico</t>
  </si>
  <si>
    <t>ICA10000</t>
  </si>
  <si>
    <t>ACTIVOS ADMIN CORP</t>
  </si>
  <si>
    <t>IC02</t>
  </si>
  <si>
    <t>Nueva Linea encuentro lagunas</t>
  </si>
  <si>
    <t>ICO10000</t>
  </si>
  <si>
    <t>ACTIVOS ADMIN OYM</t>
  </si>
  <si>
    <t>IC03</t>
  </si>
  <si>
    <t>Obra de ampliación tendido seg</t>
  </si>
  <si>
    <t>ICO20000</t>
  </si>
  <si>
    <t>ACTIVOS EN ALMACEN</t>
  </si>
  <si>
    <t>IC04</t>
  </si>
  <si>
    <t>Banco de autotransformadores D</t>
  </si>
  <si>
    <t>P001L001</t>
  </si>
  <si>
    <t>Cardones-Maitencillo500kV-Conexiones220k</t>
  </si>
  <si>
    <t>IC05</t>
  </si>
  <si>
    <t>Ampliación barras 500 kv SE NU</t>
  </si>
  <si>
    <t>P001L002</t>
  </si>
  <si>
    <t>Maitencillo-PanDeAzucar500kV-Conexiones2</t>
  </si>
  <si>
    <t>IC06</t>
  </si>
  <si>
    <t>Diagonal 3 y 4 220kv NMAI NPAN</t>
  </si>
  <si>
    <t>P001L003</t>
  </si>
  <si>
    <t>PanDeAzucar-Polpaico500kV-Conexiones220k</t>
  </si>
  <si>
    <t>IC07</t>
  </si>
  <si>
    <t>Bco autotransormador N1 DS373</t>
  </si>
  <si>
    <t>P001S001</t>
  </si>
  <si>
    <t>SE Nueva  Cardones 500/220kV</t>
  </si>
  <si>
    <t>IC08</t>
  </si>
  <si>
    <t>CS POLP Y STATCOM NPAN 500kv</t>
  </si>
  <si>
    <t>P001S002</t>
  </si>
  <si>
    <t>AmpliaciónSECardonesExistente220kV</t>
  </si>
  <si>
    <t>IC09</t>
  </si>
  <si>
    <t>Mando sincronizado atr ncar</t>
  </si>
  <si>
    <t>P001S003</t>
  </si>
  <si>
    <t>SE Nueva  Maitencillo 500/220kV</t>
  </si>
  <si>
    <t>IC11</t>
  </si>
  <si>
    <t>Aumento Capacidad LT220 kV MAI- NMAI</t>
  </si>
  <si>
    <t>P001S004</t>
  </si>
  <si>
    <t>AmpliaciónSEMaitencilloExistente220kV</t>
  </si>
  <si>
    <t>IC12</t>
  </si>
  <si>
    <t>Ampliación Subestación NPAZ</t>
  </si>
  <si>
    <t>P001S005</t>
  </si>
  <si>
    <t>SE Nueva  Pan de Azúcar 500/220 kV</t>
  </si>
  <si>
    <t>ICA1</t>
  </si>
  <si>
    <t>P001S006</t>
  </si>
  <si>
    <t>AmpliaciónSEPanDeAzucarExistente220kV</t>
  </si>
  <si>
    <t>ICO1</t>
  </si>
  <si>
    <t>ACTIVOS ADMIN DE OYM</t>
  </si>
  <si>
    <t>P001S007</t>
  </si>
  <si>
    <t>AmpliaciónSEPolpaicoExistente500kV</t>
  </si>
  <si>
    <t>ICO2</t>
  </si>
  <si>
    <t>P002L004</t>
  </si>
  <si>
    <t>Encuentro-Lagunas 2X220 kV 1Circuito</t>
  </si>
  <si>
    <t>P002S008</t>
  </si>
  <si>
    <t>AmpliacionSE_LagunasExistente220kV</t>
  </si>
  <si>
    <t>P002S009</t>
  </si>
  <si>
    <t>AmpliacionSE_EncuentroExistente220kV</t>
  </si>
  <si>
    <t>P003L004</t>
  </si>
  <si>
    <t>2do C Encuentro-Lagunas 2X220 kV</t>
  </si>
  <si>
    <t>P003S008</t>
  </si>
  <si>
    <t>2do C AmpliacionSE_Lagunas220kV</t>
  </si>
  <si>
    <t>P003S009</t>
  </si>
  <si>
    <t>2do C AmpliacionSE_Encuentro220kV</t>
  </si>
  <si>
    <t>P004S001</t>
  </si>
  <si>
    <t>ATRs SE Nueva  Cardones 500/220kV</t>
  </si>
  <si>
    <t>P004S003</t>
  </si>
  <si>
    <t>ATRs SE Nueva  Maitencillo 500/220kV</t>
  </si>
  <si>
    <t>P004S005</t>
  </si>
  <si>
    <t>ATRs SE Nueva  Pan de Azúcar 500/220 kV</t>
  </si>
  <si>
    <t>P005S001</t>
  </si>
  <si>
    <t>Ampliación Barras 500 kV SE Nueva Cardones</t>
  </si>
  <si>
    <t>P007S011</t>
  </si>
  <si>
    <t>ATR1 DS373 SE Nueva Maitencillo 500/220Kv</t>
  </si>
  <si>
    <t>P008S012</t>
  </si>
  <si>
    <t>CS POPL Y STATCOM NPAN 500KV</t>
  </si>
  <si>
    <t>P009S013</t>
  </si>
  <si>
    <t>Mando sincronizado ATR</t>
  </si>
  <si>
    <t>P011S015</t>
  </si>
  <si>
    <t>P012S016</t>
  </si>
  <si>
    <t xml:space="preserve">IC01 </t>
  </si>
  <si>
    <t xml:space="preserve"> LT 2X500 KV Carrdones Polpaico</t>
  </si>
  <si>
    <t xml:space="preserve">ICA10000 </t>
  </si>
  <si>
    <t xml:space="preserve"> ACTIVOS ADMIN CORP</t>
  </si>
  <si>
    <t xml:space="preserve">IC02 </t>
  </si>
  <si>
    <t xml:space="preserve"> Nueva Linea encuentro lagunas</t>
  </si>
  <si>
    <t xml:space="preserve">ICO10000 </t>
  </si>
  <si>
    <t xml:space="preserve"> ACTIVOS ADMIN OYM</t>
  </si>
  <si>
    <t xml:space="preserve">IC03 </t>
  </si>
  <si>
    <t xml:space="preserve"> Obra de ampliación tendido seg</t>
  </si>
  <si>
    <t xml:space="preserve">ICO20000 </t>
  </si>
  <si>
    <t xml:space="preserve"> ACTIVOS EN ALMACEN</t>
  </si>
  <si>
    <t xml:space="preserve">IC04 </t>
  </si>
  <si>
    <t xml:space="preserve"> Banco de autotransformadores D</t>
  </si>
  <si>
    <t xml:space="preserve">P001L001 </t>
  </si>
  <si>
    <t xml:space="preserve"> Cardones Maitencillo500kV Conexiones220k</t>
  </si>
  <si>
    <t xml:space="preserve">IC05 </t>
  </si>
  <si>
    <t xml:space="preserve"> Ampliación barras 500 kv SE NU</t>
  </si>
  <si>
    <t xml:space="preserve">P001L002 </t>
  </si>
  <si>
    <t xml:space="preserve"> Maitencillo Pan DeAzucar500kV Conexiones2</t>
  </si>
  <si>
    <t xml:space="preserve">IC06 </t>
  </si>
  <si>
    <t xml:space="preserve"> Diagonal 3 y 4 220kv NMAI NPAN</t>
  </si>
  <si>
    <t xml:space="preserve">P001L003 </t>
  </si>
  <si>
    <t xml:space="preserve"> PanDeAzucar Polpaico500kV Conexiones220k</t>
  </si>
  <si>
    <t xml:space="preserve">IC07 </t>
  </si>
  <si>
    <t xml:space="preserve"> Bco autotransormador N1 DS373</t>
  </si>
  <si>
    <t xml:space="preserve">P001S001 </t>
  </si>
  <si>
    <t xml:space="preserve"> SE Nueva  Cardones 500/220kV</t>
  </si>
  <si>
    <t xml:space="preserve">IC08 </t>
  </si>
  <si>
    <t xml:space="preserve"> CS POLP Y STATCOM NPAN 500kv</t>
  </si>
  <si>
    <t xml:space="preserve">P001S002 </t>
  </si>
  <si>
    <t xml:space="preserve"> AmpliaciónSECardonesExistente220kV</t>
  </si>
  <si>
    <t xml:space="preserve">IC09 </t>
  </si>
  <si>
    <t xml:space="preserve"> Mando sincronizado atr ncar</t>
  </si>
  <si>
    <t xml:space="preserve">P001S003 </t>
  </si>
  <si>
    <t xml:space="preserve"> SE Nueva  Maitencillo 500/220kV</t>
  </si>
  <si>
    <t xml:space="preserve">IC11 </t>
  </si>
  <si>
    <t xml:space="preserve"> Aumento Capacidad LT220 kV MAI  NMAI </t>
  </si>
  <si>
    <t xml:space="preserve">P001S004 </t>
  </si>
  <si>
    <t xml:space="preserve"> AmpliaciónSEMaitencilloExistente220kV</t>
  </si>
  <si>
    <t xml:space="preserve">IC12 </t>
  </si>
  <si>
    <t xml:space="preserve"> Ampliación Subestación NPAZ </t>
  </si>
  <si>
    <t xml:space="preserve">P001S005 </t>
  </si>
  <si>
    <t xml:space="preserve"> SE Nueva  Pan de Azúcar 500/220 kV</t>
  </si>
  <si>
    <t xml:space="preserve">ICA1 </t>
  </si>
  <si>
    <t xml:space="preserve">P001S006 </t>
  </si>
  <si>
    <t xml:space="preserve"> AmpliaciónSEPanDeAzucarExistente220kV</t>
  </si>
  <si>
    <t xml:space="preserve">ICO1 </t>
  </si>
  <si>
    <t xml:space="preserve"> ACTIVOS ADMIN DE OYM</t>
  </si>
  <si>
    <t xml:space="preserve">P001S007 </t>
  </si>
  <si>
    <t xml:space="preserve"> AmpliaciónSEPolpaicoExistente500kV</t>
  </si>
  <si>
    <t xml:space="preserve">ICO2 </t>
  </si>
  <si>
    <t xml:space="preserve">P002L004 </t>
  </si>
  <si>
    <t xml:space="preserve"> Encuentro Lagunas 2X220 kV 1Circuito</t>
  </si>
  <si>
    <t xml:space="preserve">P002S008 </t>
  </si>
  <si>
    <t xml:space="preserve"> AmpliacionSE_LagunasExistente220kV</t>
  </si>
  <si>
    <t xml:space="preserve">P002S009 </t>
  </si>
  <si>
    <t xml:space="preserve"> AmpliacionSE_EncuentroExistente220kV</t>
  </si>
  <si>
    <t xml:space="preserve">P003L004 </t>
  </si>
  <si>
    <t xml:space="preserve"> 2do C Encuentro Lagunas 2X220 Kv</t>
  </si>
  <si>
    <t xml:space="preserve">P003S008 </t>
  </si>
  <si>
    <t xml:space="preserve"> 2do C AmpliacionSE_Lagunas220kV</t>
  </si>
  <si>
    <t xml:space="preserve">P003S009 </t>
  </si>
  <si>
    <t xml:space="preserve"> 2do C AmpliacionSE_Encuentro220kV</t>
  </si>
  <si>
    <t xml:space="preserve">P004S001 </t>
  </si>
  <si>
    <t xml:space="preserve"> ATRs SE Nueva  Cardones 500/220kV</t>
  </si>
  <si>
    <t xml:space="preserve">P004S003 </t>
  </si>
  <si>
    <t xml:space="preserve"> ATRs SE Nueva  Maitencillo 500/220kV</t>
  </si>
  <si>
    <t xml:space="preserve">P004S005 </t>
  </si>
  <si>
    <t xml:space="preserve"> ATRs SE Nueva  Pan de Azúcar 500/220 kV</t>
  </si>
  <si>
    <t xml:space="preserve">P005S001 </t>
  </si>
  <si>
    <t xml:space="preserve"> Ampliación Barras 500 kV SE Nueva Cardones</t>
  </si>
  <si>
    <t xml:space="preserve">P007S011 </t>
  </si>
  <si>
    <t xml:space="preserve"> ATR1 DS373 SE Nueva Maitencillo 500/220Kv</t>
  </si>
  <si>
    <t xml:space="preserve">P008S012 </t>
  </si>
  <si>
    <t xml:space="preserve"> CS POPL Y STATCOM NPAN 500KV</t>
  </si>
  <si>
    <t xml:space="preserve">P009S013 </t>
  </si>
  <si>
    <t xml:space="preserve"> Mando sincronizado ATR</t>
  </si>
  <si>
    <t xml:space="preserve">P011S015 </t>
  </si>
  <si>
    <t xml:space="preserve">P012S016  </t>
  </si>
  <si>
    <t>001</t>
  </si>
  <si>
    <t xml:space="preserve"> Puerto Colombia</t>
  </si>
  <si>
    <t xml:space="preserve"> Policia Nacional</t>
  </si>
  <si>
    <t xml:space="preserve">RC01 </t>
  </si>
  <si>
    <t>Activo Reversible</t>
  </si>
  <si>
    <t>002</t>
  </si>
  <si>
    <t xml:space="preserve"> Galapa</t>
  </si>
  <si>
    <t xml:space="preserve"> CCO Galapa</t>
  </si>
  <si>
    <t>RC02</t>
  </si>
  <si>
    <t>Consorcio via al mar</t>
  </si>
  <si>
    <t>003</t>
  </si>
  <si>
    <t xml:space="preserve"> Juan Mina</t>
  </si>
  <si>
    <t xml:space="preserve"> Ambiental</t>
  </si>
  <si>
    <t xml:space="preserve">RC03 </t>
  </si>
  <si>
    <t>Activos No Reversibles</t>
  </si>
  <si>
    <t>004</t>
  </si>
  <si>
    <t xml:space="preserve"> Marahuaco</t>
  </si>
  <si>
    <t xml:space="preserve"> Área de Servicio</t>
  </si>
  <si>
    <t>005</t>
  </si>
  <si>
    <t xml:space="preserve"> Papiros</t>
  </si>
  <si>
    <t xml:space="preserve"> Bascula Galapa</t>
  </si>
  <si>
    <t>006</t>
  </si>
  <si>
    <t xml:space="preserve"> Túnel Crespo</t>
  </si>
  <si>
    <t xml:space="preserve"> Bascula Juan Mina</t>
  </si>
  <si>
    <t>007</t>
  </si>
  <si>
    <t xml:space="preserve"> Barranquilla</t>
  </si>
  <si>
    <t xml:space="preserve"> Bascula Papiros</t>
  </si>
  <si>
    <t>008</t>
  </si>
  <si>
    <t xml:space="preserve"> BC Empresarial</t>
  </si>
  <si>
    <t>009</t>
  </si>
  <si>
    <t xml:space="preserve"> Gerencia</t>
  </si>
  <si>
    <t>010</t>
  </si>
  <si>
    <t xml:space="preserve"> Gestión EPC</t>
  </si>
  <si>
    <t>011</t>
  </si>
  <si>
    <t xml:space="preserve"> Mantenimiento</t>
  </si>
  <si>
    <t>012</t>
  </si>
  <si>
    <t xml:space="preserve"> Operación</t>
  </si>
  <si>
    <t>013</t>
  </si>
  <si>
    <t xml:space="preserve"> Peaje Galapa</t>
  </si>
  <si>
    <t>014</t>
  </si>
  <si>
    <t xml:space="preserve"> Peaje Juan Mina</t>
  </si>
  <si>
    <t>015</t>
  </si>
  <si>
    <t xml:space="preserve"> Peaje Marahuaco</t>
  </si>
  <si>
    <t>016</t>
  </si>
  <si>
    <t xml:space="preserve"> Peaje Puerto Colombia</t>
  </si>
  <si>
    <t>017</t>
  </si>
  <si>
    <t xml:space="preserve"> SST</t>
  </si>
  <si>
    <t>018</t>
  </si>
  <si>
    <t xml:space="preserve"> Gerencia Tecnica</t>
  </si>
  <si>
    <t>019</t>
  </si>
  <si>
    <t>020</t>
  </si>
  <si>
    <t xml:space="preserve"> Peaje Papiros</t>
  </si>
  <si>
    <t>Sociedad</t>
  </si>
  <si>
    <t>CECO</t>
  </si>
  <si>
    <t>Responsable</t>
  </si>
  <si>
    <t>Nombre CECO</t>
  </si>
  <si>
    <t xml:space="preserve"> GERENCIA GENERAL</t>
  </si>
  <si>
    <t xml:space="preserve"> ABASTECIMIENTO</t>
  </si>
  <si>
    <t xml:space="preserve"> ADMINISTRACIÓN</t>
  </si>
  <si>
    <t xml:space="preserve"> TALENTO ORGANIZ</t>
  </si>
  <si>
    <t xml:space="preserve"> LEGAL</t>
  </si>
  <si>
    <t xml:space="preserve"> TI</t>
  </si>
  <si>
    <t xml:space="preserve"> NUEVOS NEGOCIOS</t>
  </si>
  <si>
    <t xml:space="preserve"> ESTRATEGIA</t>
  </si>
  <si>
    <t xml:space="preserve"> ALMACÉN</t>
  </si>
  <si>
    <t xml:space="preserve"> INCE NUEVOS NEGOCIOS</t>
  </si>
  <si>
    <t xml:space="preserve"> INNO PROYECTO KILA</t>
  </si>
  <si>
    <t xml:space="preserve"> PROYECTOS</t>
  </si>
  <si>
    <t xml:space="preserve"> OPERACIÓN</t>
  </si>
  <si>
    <t xml:space="preserve"> OPERACIÓN (SOPORTE)</t>
  </si>
  <si>
    <t xml:space="preserve"> CENTRO DE CONTROL</t>
  </si>
  <si>
    <t xml:space="preserve"> CONEXION</t>
  </si>
  <si>
    <t xml:space="preserve"> REGULACIÓN</t>
  </si>
  <si>
    <t xml:space="preserve"> MANTENIMIENTO  (SOPO</t>
  </si>
  <si>
    <t xml:space="preserve"> SERVICIOS</t>
  </si>
  <si>
    <t xml:space="preserve"> GESTIÓN AMBIENTAL</t>
  </si>
  <si>
    <t xml:space="preserve"> GESTIÓN PREDIAL</t>
  </si>
  <si>
    <t xml:space="preserve"> GESTIÓN SOCIAL</t>
  </si>
  <si>
    <t xml:space="preserve"> CONFIAB Y GESTIÓN</t>
  </si>
  <si>
    <t xml:space="preserve"> RENOVACIÓN</t>
  </si>
  <si>
    <t xml:space="preserve"> ALMACÉN MANTENER</t>
  </si>
  <si>
    <t xml:space="preserve"> GERENCIA FINANZAS</t>
  </si>
  <si>
    <t xml:space="preserve"> GERENCIA RRII</t>
  </si>
  <si>
    <t xml:space="preserve"> COMUNICACIONES</t>
  </si>
  <si>
    <t xml:space="preserve"> RELACIONAMIENTO</t>
  </si>
  <si>
    <t xml:space="preserve"> SOCIAL NO OP.</t>
  </si>
  <si>
    <t xml:space="preserve"> AUDITORÍA INTERNA</t>
  </si>
  <si>
    <t xml:space="preserve">ANALAG2201 </t>
  </si>
  <si>
    <t xml:space="preserve"> LT ANA MARÍA</t>
  </si>
  <si>
    <t xml:space="preserve">ANALAG2202 </t>
  </si>
  <si>
    <t>CARD220-M</t>
  </si>
  <si>
    <t xml:space="preserve"> MTTO_CAR 220KV</t>
  </si>
  <si>
    <t>CARD220-O</t>
  </si>
  <si>
    <t xml:space="preserve"> OP_CAR 220KV</t>
  </si>
  <si>
    <t xml:space="preserve">CARD2J14PL </t>
  </si>
  <si>
    <t xml:space="preserve"> PL CAR220</t>
  </si>
  <si>
    <t xml:space="preserve">CARD2J15PL </t>
  </si>
  <si>
    <t xml:space="preserve">CARD2MCOMU </t>
  </si>
  <si>
    <t xml:space="preserve"> MC CAR220KV</t>
  </si>
  <si>
    <t xml:space="preserve">CARNCA2201 </t>
  </si>
  <si>
    <t xml:space="preserve"> LT CAR</t>
  </si>
  <si>
    <t xml:space="preserve">CARNCA2202 </t>
  </si>
  <si>
    <t xml:space="preserve">CIERRE </t>
  </si>
  <si>
    <t xml:space="preserve"> CIERRE ANUAL</t>
  </si>
  <si>
    <t xml:space="preserve">ENCANA2201 </t>
  </si>
  <si>
    <t xml:space="preserve"> LT ENCUENTRO</t>
  </si>
  <si>
    <t xml:space="preserve">ENCANA2202 </t>
  </si>
  <si>
    <t xml:space="preserve">ENCLAG2201 </t>
  </si>
  <si>
    <t xml:space="preserve"> LT ENCU </t>
  </si>
  <si>
    <t xml:space="preserve">ENCLAG2202 </t>
  </si>
  <si>
    <t>ENCU1220-M</t>
  </si>
  <si>
    <t xml:space="preserve"> MTTO_ENCU 1ER CIRCUI</t>
  </si>
  <si>
    <t>ENCU1220-O</t>
  </si>
  <si>
    <t xml:space="preserve"> OPERACIÓN_ENCU 1ER C</t>
  </si>
  <si>
    <t>ENCU2202-M</t>
  </si>
  <si>
    <t xml:space="preserve"> MTTO_ENCU 2DO CIRCUI</t>
  </si>
  <si>
    <t xml:space="preserve">ENCU2DIFBA </t>
  </si>
  <si>
    <t xml:space="preserve"> ENCUENTRO 220KV DB</t>
  </si>
  <si>
    <t xml:space="preserve">ENCU2J17PL </t>
  </si>
  <si>
    <t xml:space="preserve"> PAÑO 1 ENCU_AMAR</t>
  </si>
  <si>
    <t xml:space="preserve">ENCU2J18PL </t>
  </si>
  <si>
    <t xml:space="preserve"> PAÑO 2 ENCU_AMAR</t>
  </si>
  <si>
    <t xml:space="preserve">ENCU2MCOMU </t>
  </si>
  <si>
    <t xml:space="preserve"> ENCUENTRO COMÚN</t>
  </si>
  <si>
    <t>LAGU1220-M</t>
  </si>
  <si>
    <t xml:space="preserve"> MTTO_LAGU 1ER CIRCUI</t>
  </si>
  <si>
    <t>LAGU1220-O</t>
  </si>
  <si>
    <t xml:space="preserve"> OPERACIÓN_LAGU  1ER</t>
  </si>
  <si>
    <t>LAGU2202-M</t>
  </si>
  <si>
    <t xml:space="preserve"> MTTO_LAGU 2DO CIRCUI</t>
  </si>
  <si>
    <t xml:space="preserve">LAGU2DIFBA </t>
  </si>
  <si>
    <t xml:space="preserve"> LAGUNAS 220KV DB</t>
  </si>
  <si>
    <t xml:space="preserve">LAGU2J08PL </t>
  </si>
  <si>
    <t xml:space="preserve"> PAÑO 1 LAGU_AMAR</t>
  </si>
  <si>
    <t xml:space="preserve">LAGU2J09PL </t>
  </si>
  <si>
    <t xml:space="preserve"> PAÑO 2 LAGU_AMAR</t>
  </si>
  <si>
    <t xml:space="preserve">LAGU2JZ1MC </t>
  </si>
  <si>
    <t xml:space="preserve"> MODULO COMPENSACIÓN</t>
  </si>
  <si>
    <t xml:space="preserve">LAGU2JZ1PC </t>
  </si>
  <si>
    <t xml:space="preserve"> PAÑO COMPENSACIÓN</t>
  </si>
  <si>
    <t xml:space="preserve">LAGU2MCOMU </t>
  </si>
  <si>
    <t xml:space="preserve"> LAGUNAS COMÚN</t>
  </si>
  <si>
    <t xml:space="preserve">MAINMA2201 </t>
  </si>
  <si>
    <t xml:space="preserve"> LT MAI</t>
  </si>
  <si>
    <t xml:space="preserve">MAINMA2202 </t>
  </si>
  <si>
    <t>MAIT220-M</t>
  </si>
  <si>
    <t xml:space="preserve"> MTTO_MAI 220KV</t>
  </si>
  <si>
    <t>MAIT220-O</t>
  </si>
  <si>
    <t xml:space="preserve"> OP_MAI 220KV</t>
  </si>
  <si>
    <t xml:space="preserve">MAIT2J13PL </t>
  </si>
  <si>
    <t xml:space="preserve"> PL MAI220</t>
  </si>
  <si>
    <t xml:space="preserve">MAIT2J14PL </t>
  </si>
  <si>
    <t xml:space="preserve">MAIT2MCOMU </t>
  </si>
  <si>
    <t xml:space="preserve"> MAI 220 </t>
  </si>
  <si>
    <t>MTTO-SE</t>
  </si>
  <si>
    <t xml:space="preserve"> MANTENIMIENTO SE</t>
  </si>
  <si>
    <t xml:space="preserve">NCANMA5001 </t>
  </si>
  <si>
    <t xml:space="preserve"> LNCAR</t>
  </si>
  <si>
    <t xml:space="preserve">NCANMA5002 </t>
  </si>
  <si>
    <t xml:space="preserve"> LT NCAR</t>
  </si>
  <si>
    <t xml:space="preserve">NCAR0CONEX </t>
  </si>
  <si>
    <t xml:space="preserve"> NCAR 34_5KV</t>
  </si>
  <si>
    <t xml:space="preserve">NCAR0F01PT </t>
  </si>
  <si>
    <t xml:space="preserve"> PT NCAR 34;5KV ATR1</t>
  </si>
  <si>
    <t xml:space="preserve">NCAR0F02PT </t>
  </si>
  <si>
    <t xml:space="preserve"> PT NCAR 34;5KV ATR2</t>
  </si>
  <si>
    <t>NCAR220-M</t>
  </si>
  <si>
    <t xml:space="preserve"> MTTO_NCAR 220KV</t>
  </si>
  <si>
    <t>NCAR220-O</t>
  </si>
  <si>
    <t xml:space="preserve"> OP_NCAR 220KV</t>
  </si>
  <si>
    <t xml:space="preserve">NCAR2BARRA </t>
  </si>
  <si>
    <t xml:space="preserve"> NCAR220</t>
  </si>
  <si>
    <t xml:space="preserve">NCAR2DIFBA </t>
  </si>
  <si>
    <t xml:space="preserve">NCAR2J01PT </t>
  </si>
  <si>
    <t xml:space="preserve"> PT NCAR220</t>
  </si>
  <si>
    <t xml:space="preserve">NCAR2J02ME </t>
  </si>
  <si>
    <t xml:space="preserve">NCAR2J03PL </t>
  </si>
  <si>
    <t xml:space="preserve"> PL NCAR220</t>
  </si>
  <si>
    <t xml:space="preserve">NCAR2J04PT </t>
  </si>
  <si>
    <t xml:space="preserve">NCAR2J05ME </t>
  </si>
  <si>
    <t xml:space="preserve">NCAR2J06PL </t>
  </si>
  <si>
    <t xml:space="preserve">NCAR2MCOMU </t>
  </si>
  <si>
    <t xml:space="preserve"> MC NCAR220KV</t>
  </si>
  <si>
    <t>NCAR500-M</t>
  </si>
  <si>
    <t xml:space="preserve"> MTTO_NCAR 500KV</t>
  </si>
  <si>
    <t>NCAR500-0</t>
  </si>
  <si>
    <t xml:space="preserve"> OP_NCAR 500KV</t>
  </si>
  <si>
    <t>NCAR5ATR-1</t>
  </si>
  <si>
    <t xml:space="preserve"> NCAR500</t>
  </si>
  <si>
    <t>NCAR5ATR-2</t>
  </si>
  <si>
    <t xml:space="preserve">NCAR5ATRR1 </t>
  </si>
  <si>
    <t xml:space="preserve">NCAR5BABUJ </t>
  </si>
  <si>
    <t xml:space="preserve">NCAR5BARRA </t>
  </si>
  <si>
    <t xml:space="preserve">NCAR5DIFBA </t>
  </si>
  <si>
    <t xml:space="preserve">NCAR5K01PT </t>
  </si>
  <si>
    <t xml:space="preserve"> PT NCAR500</t>
  </si>
  <si>
    <t xml:space="preserve">NCAR5K02ME </t>
  </si>
  <si>
    <t xml:space="preserve">NCAR5K03MC </t>
  </si>
  <si>
    <t xml:space="preserve"> MC NCAR500</t>
  </si>
  <si>
    <t xml:space="preserve">NCAR5K03PC </t>
  </si>
  <si>
    <t xml:space="preserve"> PC NCAR500</t>
  </si>
  <si>
    <t xml:space="preserve">NCAR5K03PL </t>
  </si>
  <si>
    <t xml:space="preserve"> PL NCAR500</t>
  </si>
  <si>
    <t xml:space="preserve">NCAR5K04PT </t>
  </si>
  <si>
    <t xml:space="preserve">NCAR5K05ME </t>
  </si>
  <si>
    <t xml:space="preserve">NCAR5K06MC </t>
  </si>
  <si>
    <t xml:space="preserve">NCAR5K06PC </t>
  </si>
  <si>
    <t xml:space="preserve">NCAR5K06PL </t>
  </si>
  <si>
    <t xml:space="preserve">NCAR5K0RR1 </t>
  </si>
  <si>
    <t xml:space="preserve">NCAR5MCOMU </t>
  </si>
  <si>
    <t xml:space="preserve"> NCAR500 </t>
  </si>
  <si>
    <t xml:space="preserve">NMAI0CONEX </t>
  </si>
  <si>
    <t xml:space="preserve"> NMAI 34_5KV</t>
  </si>
  <si>
    <t xml:space="preserve">NMAI0F01PT </t>
  </si>
  <si>
    <t xml:space="preserve"> PT NMAI 34;5KV ATR1</t>
  </si>
  <si>
    <t xml:space="preserve">NMAI0F02PT </t>
  </si>
  <si>
    <t xml:space="preserve"> PT NMAI 34;5KV ATR2</t>
  </si>
  <si>
    <t>NMAI220-M</t>
  </si>
  <si>
    <t xml:space="preserve"> MTTO_NMAI 220KV</t>
  </si>
  <si>
    <t>NMAI220-O</t>
  </si>
  <si>
    <t xml:space="preserve"> OP_NMAI 220KV</t>
  </si>
  <si>
    <t xml:space="preserve">NMAI2BARRA </t>
  </si>
  <si>
    <t xml:space="preserve"> NMAI220</t>
  </si>
  <si>
    <t xml:space="preserve">NMAI2DIFBA </t>
  </si>
  <si>
    <t xml:space="preserve">NMAI2J01PT </t>
  </si>
  <si>
    <t xml:space="preserve"> PT NMAI220</t>
  </si>
  <si>
    <t xml:space="preserve">NMAI2J02ME </t>
  </si>
  <si>
    <t xml:space="preserve">NMAI2J03PL </t>
  </si>
  <si>
    <t xml:space="preserve"> PL NMAI220</t>
  </si>
  <si>
    <t xml:space="preserve">NMAI2J04PT </t>
  </si>
  <si>
    <t xml:space="preserve">NMAI2J05ME </t>
  </si>
  <si>
    <t xml:space="preserve">NMAI2J06PL </t>
  </si>
  <si>
    <t xml:space="preserve">NMAI2J08ME </t>
  </si>
  <si>
    <t xml:space="preserve"> NMAI 220</t>
  </si>
  <si>
    <t xml:space="preserve">NMAI2J11ME </t>
  </si>
  <si>
    <t xml:space="preserve">NMAI2MCOMU </t>
  </si>
  <si>
    <t>NMAI500-M</t>
  </si>
  <si>
    <t xml:space="preserve"> MTTO_NMAI 500KV</t>
  </si>
  <si>
    <t>NMAI500-O</t>
  </si>
  <si>
    <t xml:space="preserve"> OP_NMAI 500KV</t>
  </si>
  <si>
    <t>NMAI5ATR-1</t>
  </si>
  <si>
    <t xml:space="preserve"> NMAI500</t>
  </si>
  <si>
    <t>NMAI5ATR-2</t>
  </si>
  <si>
    <t xml:space="preserve">NMAI5ATRR1 </t>
  </si>
  <si>
    <t xml:space="preserve">NMAI5BARRA </t>
  </si>
  <si>
    <t xml:space="preserve">NMAI5DIFBA </t>
  </si>
  <si>
    <t xml:space="preserve">NMAI5K01PT </t>
  </si>
  <si>
    <t xml:space="preserve"> PT NMAI500</t>
  </si>
  <si>
    <t xml:space="preserve">NMAI5K02ME </t>
  </si>
  <si>
    <t xml:space="preserve">NMAI5K04PT </t>
  </si>
  <si>
    <t xml:space="preserve">NMAI5K05ME </t>
  </si>
  <si>
    <t xml:space="preserve">NMAI5K07MC </t>
  </si>
  <si>
    <t xml:space="preserve"> MC NMAI500</t>
  </si>
  <si>
    <t xml:space="preserve">NMAI5K07PC </t>
  </si>
  <si>
    <t xml:space="preserve"> PC NMAI500</t>
  </si>
  <si>
    <t xml:space="preserve">NMAI5K07PL </t>
  </si>
  <si>
    <t xml:space="preserve"> PL NMAI500</t>
  </si>
  <si>
    <t xml:space="preserve">NMAI5K08ME </t>
  </si>
  <si>
    <t xml:space="preserve">NMAI5K09PL </t>
  </si>
  <si>
    <t xml:space="preserve">NMAI5K0RR1 </t>
  </si>
  <si>
    <t xml:space="preserve">NMAI5K10MC </t>
  </si>
  <si>
    <t xml:space="preserve">NMAI5K10PC </t>
  </si>
  <si>
    <t xml:space="preserve">NMAI5K10PL </t>
  </si>
  <si>
    <t xml:space="preserve">NMAI5K11ME </t>
  </si>
  <si>
    <t xml:space="preserve">NMAI5K12PL </t>
  </si>
  <si>
    <t xml:space="preserve">NMAI5MCOMU </t>
  </si>
  <si>
    <t xml:space="preserve">NMANPA5001 </t>
  </si>
  <si>
    <t xml:space="preserve"> LT NMAI</t>
  </si>
  <si>
    <t xml:space="preserve">NMANPA5002 </t>
  </si>
  <si>
    <t xml:space="preserve">NPAN0CONEX </t>
  </si>
  <si>
    <t xml:space="preserve"> NPAN 34_5KV</t>
  </si>
  <si>
    <t xml:space="preserve">NPAN0F01PT </t>
  </si>
  <si>
    <t xml:space="preserve"> PT NPAN 34;5KV ATR1</t>
  </si>
  <si>
    <t xml:space="preserve">NPAN0F02PT </t>
  </si>
  <si>
    <t xml:space="preserve"> PT NPAN 34;5KV ATR2</t>
  </si>
  <si>
    <t>NPAN220-M</t>
  </si>
  <si>
    <t xml:space="preserve"> MTTO_NPAN 220KV</t>
  </si>
  <si>
    <t>NPAN220-O</t>
  </si>
  <si>
    <t xml:space="preserve"> OP_NPAN 220KV</t>
  </si>
  <si>
    <t xml:space="preserve">NPAN2BARRA </t>
  </si>
  <si>
    <t xml:space="preserve"> NPAN220</t>
  </si>
  <si>
    <t xml:space="preserve">NPAN2DIFBA </t>
  </si>
  <si>
    <t xml:space="preserve">NPAN2J01PT </t>
  </si>
  <si>
    <t xml:space="preserve"> PT NPAN220</t>
  </si>
  <si>
    <t xml:space="preserve">NPAN2J02ME </t>
  </si>
  <si>
    <t xml:space="preserve"> NPAN 220</t>
  </si>
  <si>
    <t xml:space="preserve">NPAN2J03PL </t>
  </si>
  <si>
    <t xml:space="preserve"> PL NPAN220</t>
  </si>
  <si>
    <t xml:space="preserve">NPAN2J04PT </t>
  </si>
  <si>
    <t xml:space="preserve">NPAN2J05ME </t>
  </si>
  <si>
    <t xml:space="preserve">NPAN2J06PL </t>
  </si>
  <si>
    <t xml:space="preserve">NPAN2J08ME </t>
  </si>
  <si>
    <t xml:space="preserve">NPAN2J11ME </t>
  </si>
  <si>
    <t xml:space="preserve">NPAN2J14ME </t>
  </si>
  <si>
    <t xml:space="preserve">NPAN2MCOMU </t>
  </si>
  <si>
    <t>NPAN500-M</t>
  </si>
  <si>
    <t xml:space="preserve"> MTTO_NPAN 500KV</t>
  </si>
  <si>
    <t>NPAN500-O</t>
  </si>
  <si>
    <t xml:space="preserve"> OP_NPAN 500KV</t>
  </si>
  <si>
    <t>NPAN5ATR-1</t>
  </si>
  <si>
    <t xml:space="preserve"> NPAN500</t>
  </si>
  <si>
    <t>NPAN5ATR-2</t>
  </si>
  <si>
    <t xml:space="preserve">NPAN5ATRR1 </t>
  </si>
  <si>
    <t xml:space="preserve">NPAN5BARRA </t>
  </si>
  <si>
    <t xml:space="preserve">NPAN5DIFBA </t>
  </si>
  <si>
    <t xml:space="preserve">NPAN5K01PT </t>
  </si>
  <si>
    <t xml:space="preserve"> PT NPAN500</t>
  </si>
  <si>
    <t xml:space="preserve">NPAN5K02ME </t>
  </si>
  <si>
    <t xml:space="preserve">NPAN5K03MC </t>
  </si>
  <si>
    <t xml:space="preserve"> NPAN5K03MC</t>
  </si>
  <si>
    <t xml:space="preserve">NPAN5K03PC </t>
  </si>
  <si>
    <t xml:space="preserve"> NPAN5K03PC</t>
  </si>
  <si>
    <t xml:space="preserve">NPAN5K04PT </t>
  </si>
  <si>
    <t xml:space="preserve">NPAN5K05ME </t>
  </si>
  <si>
    <t xml:space="preserve">NPAN5K06MC </t>
  </si>
  <si>
    <t xml:space="preserve"> NPAN5K06MC</t>
  </si>
  <si>
    <t xml:space="preserve">NPAN5K06PC </t>
  </si>
  <si>
    <t xml:space="preserve"> NPAN5K06PC</t>
  </si>
  <si>
    <t xml:space="preserve">NPAN5K07CS </t>
  </si>
  <si>
    <t xml:space="preserve"> PC NPAN500</t>
  </si>
  <si>
    <t xml:space="preserve">NPAN5K07MC </t>
  </si>
  <si>
    <t xml:space="preserve"> MC NPAN500</t>
  </si>
  <si>
    <t xml:space="preserve">NPAN5K07PC </t>
  </si>
  <si>
    <t xml:space="preserve">NPAN5K07PL </t>
  </si>
  <si>
    <t xml:space="preserve"> PL NPAN500</t>
  </si>
  <si>
    <t xml:space="preserve">NPAN5K08ME </t>
  </si>
  <si>
    <t xml:space="preserve">NPAN5K09CS </t>
  </si>
  <si>
    <t xml:space="preserve">NPAN5K09MC </t>
  </si>
  <si>
    <t xml:space="preserve">NPAN5K09PC </t>
  </si>
  <si>
    <t xml:space="preserve">NPAN5K09PL </t>
  </si>
  <si>
    <t xml:space="preserve">NPAN5K0RR1 </t>
  </si>
  <si>
    <t xml:space="preserve">NPAN5K0RR2 </t>
  </si>
  <si>
    <t xml:space="preserve">NPAN5K10CS </t>
  </si>
  <si>
    <t xml:space="preserve">NPAN5K10MC </t>
  </si>
  <si>
    <t xml:space="preserve">NPAN5K10PC </t>
  </si>
  <si>
    <t xml:space="preserve">NPAN5K10PL </t>
  </si>
  <si>
    <t xml:space="preserve">NPAN5K11ME </t>
  </si>
  <si>
    <t xml:space="preserve">NPAN5K12CS </t>
  </si>
  <si>
    <t xml:space="preserve">NPAN5K12MC </t>
  </si>
  <si>
    <t xml:space="preserve">NPAN5K12PC </t>
  </si>
  <si>
    <t xml:space="preserve">NPAN5K12PL </t>
  </si>
  <si>
    <t xml:space="preserve">NPAN5MCOMU </t>
  </si>
  <si>
    <t xml:space="preserve">NPAN5TRAFR </t>
  </si>
  <si>
    <t xml:space="preserve">NPAPAZ2201 </t>
  </si>
  <si>
    <t xml:space="preserve"> LT NPAN</t>
  </si>
  <si>
    <t xml:space="preserve">NPAPAZ2202 </t>
  </si>
  <si>
    <t xml:space="preserve">NPAPOL5001 </t>
  </si>
  <si>
    <t xml:space="preserve">NPAPOL5002 </t>
  </si>
  <si>
    <t>PAZU220-M</t>
  </si>
  <si>
    <t xml:space="preserve"> MTTO_PAN 220KV</t>
  </si>
  <si>
    <t>PAZU220-O</t>
  </si>
  <si>
    <t xml:space="preserve"> OP_PAN 220KV</t>
  </si>
  <si>
    <t xml:space="preserve">PAZU2J08PL </t>
  </si>
  <si>
    <t xml:space="preserve"> PL PAN200</t>
  </si>
  <si>
    <t xml:space="preserve">PAZU2J09PL </t>
  </si>
  <si>
    <t xml:space="preserve">PAZU2MCOMU </t>
  </si>
  <si>
    <t xml:space="preserve"> PAN200</t>
  </si>
  <si>
    <t>POLP500-M</t>
  </si>
  <si>
    <t xml:space="preserve"> MTTO_POL 500KV</t>
  </si>
  <si>
    <t xml:space="preserve"> OP_POL 500KV</t>
  </si>
  <si>
    <t xml:space="preserve">POLP5D03CS </t>
  </si>
  <si>
    <t xml:space="preserve"> PC POL 500KV</t>
  </si>
  <si>
    <t xml:space="preserve">POLP5D04CS </t>
  </si>
  <si>
    <t xml:space="preserve">POLP5K03CS </t>
  </si>
  <si>
    <t xml:space="preserve"> POLP 500KV NPAZ1</t>
  </si>
  <si>
    <t xml:space="preserve">POLP5K03MC </t>
  </si>
  <si>
    <t xml:space="preserve"> MC POL500</t>
  </si>
  <si>
    <t xml:space="preserve">POLP5K03PC </t>
  </si>
  <si>
    <t xml:space="preserve"> PC POL500</t>
  </si>
  <si>
    <t xml:space="preserve">POLP5K03PL </t>
  </si>
  <si>
    <t xml:space="preserve"> PL POL500</t>
  </si>
  <si>
    <t xml:space="preserve">POLP5K04CS </t>
  </si>
  <si>
    <t xml:space="preserve"> POLP 500KV NPAZ2</t>
  </si>
  <si>
    <t xml:space="preserve">POLP5K04MC </t>
  </si>
  <si>
    <t xml:space="preserve">POLP5K04PC </t>
  </si>
  <si>
    <t xml:space="preserve">POLP5K04PL </t>
  </si>
  <si>
    <t xml:space="preserve">POLP5K0RR1 </t>
  </si>
  <si>
    <t xml:space="preserve">POLP5MCOMU </t>
  </si>
  <si>
    <t xml:space="preserve"> POLP500</t>
  </si>
  <si>
    <t>NCAR500-O</t>
  </si>
  <si>
    <t>POLP500-O</t>
  </si>
  <si>
    <t>Emplazamiento</t>
  </si>
  <si>
    <t xml:space="preserve">Descripción </t>
  </si>
  <si>
    <t xml:space="preserve"> Iquique</t>
  </si>
  <si>
    <t xml:space="preserve"> Alto Hospicio</t>
  </si>
  <si>
    <t xml:space="preserve"> Pozo Almonte</t>
  </si>
  <si>
    <t xml:space="preserve"> Camiña</t>
  </si>
  <si>
    <t xml:space="preserve"> Colchane</t>
  </si>
  <si>
    <t xml:space="preserve"> Huara</t>
  </si>
  <si>
    <t xml:space="preserve"> Pica</t>
  </si>
  <si>
    <t xml:space="preserve"> Antofagasta</t>
  </si>
  <si>
    <t xml:space="preserve"> Mejillones</t>
  </si>
  <si>
    <t xml:space="preserve"> Sierra Gorda</t>
  </si>
  <si>
    <t xml:space="preserve"> Taltal</t>
  </si>
  <si>
    <t xml:space="preserve"> Calama</t>
  </si>
  <si>
    <t xml:space="preserve"> Ollagüe</t>
  </si>
  <si>
    <t xml:space="preserve"> San Pedro de Atacama</t>
  </si>
  <si>
    <t xml:space="preserve"> Tocopilla</t>
  </si>
  <si>
    <t xml:space="preserve"> María Elena</t>
  </si>
  <si>
    <t xml:space="preserve"> Copiapó</t>
  </si>
  <si>
    <t xml:space="preserve"> Caldera</t>
  </si>
  <si>
    <t xml:space="preserve"> Tierra Amarilla</t>
  </si>
  <si>
    <t xml:space="preserve"> Chañaral</t>
  </si>
  <si>
    <t xml:space="preserve"> Diego de Almagro</t>
  </si>
  <si>
    <t xml:space="preserve"> Vallenar</t>
  </si>
  <si>
    <t xml:space="preserve"> Alto del Carmen</t>
  </si>
  <si>
    <t xml:space="preserve"> Freirina</t>
  </si>
  <si>
    <t xml:space="preserve"> Huasco</t>
  </si>
  <si>
    <t xml:space="preserve"> La Serena</t>
  </si>
  <si>
    <t xml:space="preserve"> Coquimbo</t>
  </si>
  <si>
    <t xml:space="preserve"> Andacollo</t>
  </si>
  <si>
    <t xml:space="preserve"> La Higuera</t>
  </si>
  <si>
    <t xml:space="preserve"> Paiguano</t>
  </si>
  <si>
    <t xml:space="preserve"> Vicuña</t>
  </si>
  <si>
    <t xml:space="preserve"> Illapel</t>
  </si>
  <si>
    <t xml:space="preserve"> Canela</t>
  </si>
  <si>
    <t xml:space="preserve"> Los Vilos</t>
  </si>
  <si>
    <t xml:space="preserve"> Salamanca</t>
  </si>
  <si>
    <t xml:space="preserve"> Ovalle</t>
  </si>
  <si>
    <t xml:space="preserve"> Combarbalá</t>
  </si>
  <si>
    <t xml:space="preserve"> Monte Patria</t>
  </si>
  <si>
    <t xml:space="preserve"> Punitaqui</t>
  </si>
  <si>
    <t xml:space="preserve"> Río Hurtado</t>
  </si>
  <si>
    <t xml:space="preserve"> Valparaíso</t>
  </si>
  <si>
    <t xml:space="preserve"> Casablanca</t>
  </si>
  <si>
    <t xml:space="preserve"> Concón</t>
  </si>
  <si>
    <t xml:space="preserve"> Juan Fernández</t>
  </si>
  <si>
    <t xml:space="preserve"> Puchuncaví</t>
  </si>
  <si>
    <t xml:space="preserve"> Quintero</t>
  </si>
  <si>
    <t xml:space="preserve"> Viña del Mar</t>
  </si>
  <si>
    <t xml:space="preserve"> Isla de Pascua</t>
  </si>
  <si>
    <t xml:space="preserve"> Los Andes</t>
  </si>
  <si>
    <t xml:space="preserve"> Calle Larga</t>
  </si>
  <si>
    <t xml:space="preserve"> Rinconada</t>
  </si>
  <si>
    <t xml:space="preserve"> San Esteban</t>
  </si>
  <si>
    <t xml:space="preserve"> La Ligua</t>
  </si>
  <si>
    <t xml:space="preserve"> Cabildo</t>
  </si>
  <si>
    <t xml:space="preserve"> Papudo</t>
  </si>
  <si>
    <t xml:space="preserve"> Petorca</t>
  </si>
  <si>
    <t xml:space="preserve"> Zapallar</t>
  </si>
  <si>
    <t xml:space="preserve"> Quillota</t>
  </si>
  <si>
    <t xml:space="preserve"> Calera</t>
  </si>
  <si>
    <t xml:space="preserve"> Hijuelas</t>
  </si>
  <si>
    <t xml:space="preserve"> La Cruz</t>
  </si>
  <si>
    <t xml:space="preserve"> Nogales</t>
  </si>
  <si>
    <t xml:space="preserve"> San Antonio</t>
  </si>
  <si>
    <t xml:space="preserve"> Algarrobo</t>
  </si>
  <si>
    <t xml:space="preserve"> Cartagena</t>
  </si>
  <si>
    <t xml:space="preserve"> El Quisco</t>
  </si>
  <si>
    <t xml:space="preserve"> El Tabo</t>
  </si>
  <si>
    <t xml:space="preserve"> Santo Domingo</t>
  </si>
  <si>
    <t xml:space="preserve"> San Felipe</t>
  </si>
  <si>
    <t xml:space="preserve"> Catemu</t>
  </si>
  <si>
    <t xml:space="preserve"> Llaillay</t>
  </si>
  <si>
    <t xml:space="preserve"> Panquehue</t>
  </si>
  <si>
    <t xml:space="preserve"> Putaendo</t>
  </si>
  <si>
    <t xml:space="preserve"> Santa María</t>
  </si>
  <si>
    <t xml:space="preserve"> Quilpué</t>
  </si>
  <si>
    <t xml:space="preserve"> Limache</t>
  </si>
  <si>
    <t xml:space="preserve"> Olmué</t>
  </si>
  <si>
    <t xml:space="preserve"> Villa Alemana</t>
  </si>
  <si>
    <t xml:space="preserve"> Rancagua</t>
  </si>
  <si>
    <t xml:space="preserve"> Codegua</t>
  </si>
  <si>
    <t xml:space="preserve"> Coinco</t>
  </si>
  <si>
    <t xml:space="preserve"> Coltauco</t>
  </si>
  <si>
    <t xml:space="preserve"> Doñihue</t>
  </si>
  <si>
    <t xml:space="preserve"> Graneros</t>
  </si>
  <si>
    <t xml:space="preserve"> Las Cabras</t>
  </si>
  <si>
    <t xml:space="preserve"> Machalí</t>
  </si>
  <si>
    <t xml:space="preserve"> Malloa</t>
  </si>
  <si>
    <t xml:space="preserve"> Mostazal</t>
  </si>
  <si>
    <t xml:space="preserve"> Olivar</t>
  </si>
  <si>
    <t xml:space="preserve"> Peumo</t>
  </si>
  <si>
    <t xml:space="preserve"> Pichidegua</t>
  </si>
  <si>
    <t xml:space="preserve"> Quinta de Tilcoco</t>
  </si>
  <si>
    <t xml:space="preserve"> Rengo</t>
  </si>
  <si>
    <t xml:space="preserve"> Requínoa</t>
  </si>
  <si>
    <t xml:space="preserve"> San Vicente</t>
  </si>
  <si>
    <t xml:space="preserve"> Pichilemu</t>
  </si>
  <si>
    <t xml:space="preserve"> La Estrella</t>
  </si>
  <si>
    <t xml:space="preserve"> Litueche</t>
  </si>
  <si>
    <t xml:space="preserve"> Marchihue</t>
  </si>
  <si>
    <t xml:space="preserve"> Navidad</t>
  </si>
  <si>
    <t xml:space="preserve"> Paredones</t>
  </si>
  <si>
    <t xml:space="preserve"> San Fernando</t>
  </si>
  <si>
    <t xml:space="preserve"> Chépica</t>
  </si>
  <si>
    <t xml:space="preserve"> Chimbarongo</t>
  </si>
  <si>
    <t xml:space="preserve"> Lolol</t>
  </si>
  <si>
    <t xml:space="preserve"> Nancagua</t>
  </si>
  <si>
    <t xml:space="preserve"> Palmilla</t>
  </si>
  <si>
    <t xml:space="preserve"> Peralillo</t>
  </si>
  <si>
    <t xml:space="preserve"> Placilla</t>
  </si>
  <si>
    <t xml:space="preserve"> Pumanque</t>
  </si>
  <si>
    <t xml:space="preserve"> Santa Cruz</t>
  </si>
  <si>
    <t xml:space="preserve"> Talca</t>
  </si>
  <si>
    <t xml:space="preserve"> Constitución</t>
  </si>
  <si>
    <t xml:space="preserve"> Curepto</t>
  </si>
  <si>
    <t xml:space="preserve"> Empedrado</t>
  </si>
  <si>
    <t xml:space="preserve"> Maule</t>
  </si>
  <si>
    <t xml:space="preserve"> Pelarco</t>
  </si>
  <si>
    <t xml:space="preserve"> Pencahue</t>
  </si>
  <si>
    <t xml:space="preserve"> Río Claro</t>
  </si>
  <si>
    <t xml:space="preserve"> San Clemente</t>
  </si>
  <si>
    <t xml:space="preserve"> San Rafael</t>
  </si>
  <si>
    <t xml:space="preserve"> Cauquenes</t>
  </si>
  <si>
    <t xml:space="preserve"> Chanco</t>
  </si>
  <si>
    <t xml:space="preserve"> Pelluhue</t>
  </si>
  <si>
    <t xml:space="preserve"> Curicó</t>
  </si>
  <si>
    <t xml:space="preserve"> Hualañé</t>
  </si>
  <si>
    <t xml:space="preserve"> Licantén</t>
  </si>
  <si>
    <t xml:space="preserve"> Molina</t>
  </si>
  <si>
    <t xml:space="preserve"> Rauco</t>
  </si>
  <si>
    <t xml:space="preserve"> Romeral</t>
  </si>
  <si>
    <t xml:space="preserve"> Sagrada Familia</t>
  </si>
  <si>
    <t xml:space="preserve"> Teno</t>
  </si>
  <si>
    <t xml:space="preserve"> Vichuquén</t>
  </si>
  <si>
    <t xml:space="preserve"> Linares</t>
  </si>
  <si>
    <t xml:space="preserve"> Colbún</t>
  </si>
  <si>
    <t xml:space="preserve"> Longaví</t>
  </si>
  <si>
    <t xml:space="preserve"> Parral</t>
  </si>
  <si>
    <t xml:space="preserve"> Retiro</t>
  </si>
  <si>
    <t xml:space="preserve"> San Javier</t>
  </si>
  <si>
    <t xml:space="preserve"> Villa Alegre</t>
  </si>
  <si>
    <t xml:space="preserve"> Yerbas Buenas</t>
  </si>
  <si>
    <t xml:space="preserve"> Concepción</t>
  </si>
  <si>
    <t xml:space="preserve"> Coronel</t>
  </si>
  <si>
    <t xml:space="preserve"> Chiguayante</t>
  </si>
  <si>
    <t xml:space="preserve"> Florida</t>
  </si>
  <si>
    <t xml:space="preserve"> Hualqui</t>
  </si>
  <si>
    <t xml:space="preserve"> Lota</t>
  </si>
  <si>
    <t xml:space="preserve"> Penco</t>
  </si>
  <si>
    <t xml:space="preserve"> San Pedro de la Paz</t>
  </si>
  <si>
    <t xml:space="preserve"> Santa Juana</t>
  </si>
  <si>
    <t xml:space="preserve"> Talcahuano</t>
  </si>
  <si>
    <t xml:space="preserve"> Tomé</t>
  </si>
  <si>
    <t xml:space="preserve"> Hualpén</t>
  </si>
  <si>
    <t xml:space="preserve"> Lebu</t>
  </si>
  <si>
    <t xml:space="preserve"> Arauco</t>
  </si>
  <si>
    <t xml:space="preserve"> Cañete</t>
  </si>
  <si>
    <t xml:space="preserve"> Contulmo</t>
  </si>
  <si>
    <t xml:space="preserve"> Curanilahue</t>
  </si>
  <si>
    <t xml:space="preserve"> Los Álamos</t>
  </si>
  <si>
    <t xml:space="preserve"> Tirúa</t>
  </si>
  <si>
    <t xml:space="preserve"> Los Ángeles</t>
  </si>
  <si>
    <t xml:space="preserve"> Antuco</t>
  </si>
  <si>
    <t xml:space="preserve"> Cabrero</t>
  </si>
  <si>
    <t xml:space="preserve"> Laja</t>
  </si>
  <si>
    <t xml:space="preserve"> Mulchén</t>
  </si>
  <si>
    <t xml:space="preserve"> Nacimiento</t>
  </si>
  <si>
    <t xml:space="preserve"> Negrete</t>
  </si>
  <si>
    <t xml:space="preserve"> Quilaco</t>
  </si>
  <si>
    <t xml:space="preserve"> Quilleco</t>
  </si>
  <si>
    <t xml:space="preserve"> San Rosendo</t>
  </si>
  <si>
    <t xml:space="preserve"> Santa Bárbara</t>
  </si>
  <si>
    <t xml:space="preserve"> Tucapel</t>
  </si>
  <si>
    <t xml:space="preserve"> Yumbel</t>
  </si>
  <si>
    <t xml:space="preserve"> Alto Biobío</t>
  </si>
  <si>
    <t xml:space="preserve"> Chillán</t>
  </si>
  <si>
    <t xml:space="preserve"> Bulnes</t>
  </si>
  <si>
    <t xml:space="preserve"> Cobquecura</t>
  </si>
  <si>
    <t xml:space="preserve"> Coelemu</t>
  </si>
  <si>
    <t xml:space="preserve"> Coihueco</t>
  </si>
  <si>
    <t xml:space="preserve"> Chillán Viejo</t>
  </si>
  <si>
    <t xml:space="preserve"> El Carmen</t>
  </si>
  <si>
    <t xml:space="preserve"> Ninhue</t>
  </si>
  <si>
    <t xml:space="preserve"> Ñiquén</t>
  </si>
  <si>
    <t xml:space="preserve"> Pemuco</t>
  </si>
  <si>
    <t xml:space="preserve"> Pinto</t>
  </si>
  <si>
    <t xml:space="preserve"> Portezuelo</t>
  </si>
  <si>
    <t xml:space="preserve"> Quillón</t>
  </si>
  <si>
    <t xml:space="preserve"> Quirihue</t>
  </si>
  <si>
    <t xml:space="preserve"> Ránquil</t>
  </si>
  <si>
    <t xml:space="preserve"> San Carlos</t>
  </si>
  <si>
    <t xml:space="preserve"> San Fabián</t>
  </si>
  <si>
    <t xml:space="preserve"> San Ignacio</t>
  </si>
  <si>
    <t xml:space="preserve"> San Nicolás</t>
  </si>
  <si>
    <t xml:space="preserve"> Treguaco</t>
  </si>
  <si>
    <t xml:space="preserve"> Yungay</t>
  </si>
  <si>
    <t xml:space="preserve"> Temuco</t>
  </si>
  <si>
    <t xml:space="preserve"> Carahue</t>
  </si>
  <si>
    <t xml:space="preserve"> Cunco</t>
  </si>
  <si>
    <t xml:space="preserve"> Curarrehue</t>
  </si>
  <si>
    <t xml:space="preserve"> Freire</t>
  </si>
  <si>
    <t xml:space="preserve"> Galvarino</t>
  </si>
  <si>
    <t xml:space="preserve"> Gorbea</t>
  </si>
  <si>
    <t xml:space="preserve"> Lautaro</t>
  </si>
  <si>
    <t xml:space="preserve"> Loncoche</t>
  </si>
  <si>
    <t xml:space="preserve"> Melipeuco</t>
  </si>
  <si>
    <t xml:space="preserve"> Nueva Imperial</t>
  </si>
  <si>
    <t xml:space="preserve"> Padre Las Casas</t>
  </si>
  <si>
    <t xml:space="preserve"> Perquenco</t>
  </si>
  <si>
    <t xml:space="preserve"> Pitrufquén</t>
  </si>
  <si>
    <t xml:space="preserve"> Pucón</t>
  </si>
  <si>
    <t xml:space="preserve"> Saavedra</t>
  </si>
  <si>
    <t xml:space="preserve"> Teodoro Schmidt</t>
  </si>
  <si>
    <t xml:space="preserve"> Toltén</t>
  </si>
  <si>
    <t xml:space="preserve"> Vilcún</t>
  </si>
  <si>
    <t xml:space="preserve"> Villarrica</t>
  </si>
  <si>
    <t xml:space="preserve"> Cholchol</t>
  </si>
  <si>
    <t xml:space="preserve"> Angol</t>
  </si>
  <si>
    <t xml:space="preserve"> Collipulli</t>
  </si>
  <si>
    <t xml:space="preserve"> Curacautín</t>
  </si>
  <si>
    <t xml:space="preserve"> Ercilla</t>
  </si>
  <si>
    <t xml:space="preserve"> Lonquimay</t>
  </si>
  <si>
    <t xml:space="preserve"> Los Sauces</t>
  </si>
  <si>
    <t xml:space="preserve"> Lumaco</t>
  </si>
  <si>
    <t xml:space="preserve"> Purén</t>
  </si>
  <si>
    <t xml:space="preserve"> Renaico</t>
  </si>
  <si>
    <t xml:space="preserve"> Traiguén</t>
  </si>
  <si>
    <t xml:space="preserve"> Victoria</t>
  </si>
  <si>
    <t xml:space="preserve"> Puerto Montt</t>
  </si>
  <si>
    <t xml:space="preserve"> Calbuco</t>
  </si>
  <si>
    <t xml:space="preserve"> Cochamó</t>
  </si>
  <si>
    <t xml:space="preserve"> Fresia</t>
  </si>
  <si>
    <t xml:space="preserve"> Frutillar</t>
  </si>
  <si>
    <t xml:space="preserve"> Los Muermos</t>
  </si>
  <si>
    <t xml:space="preserve"> Llanquihue</t>
  </si>
  <si>
    <t xml:space="preserve"> Maullín</t>
  </si>
  <si>
    <t xml:space="preserve"> Puerto Varas</t>
  </si>
  <si>
    <t xml:space="preserve"> Castro</t>
  </si>
  <si>
    <t xml:space="preserve"> Ancud</t>
  </si>
  <si>
    <t xml:space="preserve"> Chonchi</t>
  </si>
  <si>
    <t xml:space="preserve"> Curaco de Vélez</t>
  </si>
  <si>
    <t xml:space="preserve"> Dalcahue</t>
  </si>
  <si>
    <t xml:space="preserve"> Puqueldón</t>
  </si>
  <si>
    <t xml:space="preserve"> Queilén</t>
  </si>
  <si>
    <t xml:space="preserve"> Quellón</t>
  </si>
  <si>
    <t xml:space="preserve"> Quemchi</t>
  </si>
  <si>
    <t xml:space="preserve"> Quinchao</t>
  </si>
  <si>
    <t xml:space="preserve"> Osorno</t>
  </si>
  <si>
    <t xml:space="preserve"> Puerto Octay</t>
  </si>
  <si>
    <t xml:space="preserve"> Purranque</t>
  </si>
  <si>
    <t xml:space="preserve"> Puyehue</t>
  </si>
  <si>
    <t xml:space="preserve"> Río Negro</t>
  </si>
  <si>
    <t xml:space="preserve"> San Juan de la Costa</t>
  </si>
  <si>
    <t xml:space="preserve"> San Pablo</t>
  </si>
  <si>
    <t xml:space="preserve"> Chaitén</t>
  </si>
  <si>
    <t xml:space="preserve"> Futaleufú</t>
  </si>
  <si>
    <t xml:space="preserve"> Hualaihué</t>
  </si>
  <si>
    <t xml:space="preserve"> Palena</t>
  </si>
  <si>
    <t xml:space="preserve"> Coyhaique</t>
  </si>
  <si>
    <t xml:space="preserve"> Lago Verde</t>
  </si>
  <si>
    <t xml:space="preserve"> Aysén</t>
  </si>
  <si>
    <t xml:space="preserve"> Cisnes</t>
  </si>
  <si>
    <t xml:space="preserve"> Guaitecas</t>
  </si>
  <si>
    <t xml:space="preserve"> Cochrane</t>
  </si>
  <si>
    <t xml:space="preserve"> O´Higgins</t>
  </si>
  <si>
    <t xml:space="preserve"> Tortel</t>
  </si>
  <si>
    <t xml:space="preserve"> Chile Chico</t>
  </si>
  <si>
    <t xml:space="preserve"> Río Ibáñez</t>
  </si>
  <si>
    <t xml:space="preserve"> Punta Arenas</t>
  </si>
  <si>
    <t xml:space="preserve"> Laguna Blanca</t>
  </si>
  <si>
    <t xml:space="preserve"> Río Verde</t>
  </si>
  <si>
    <t xml:space="preserve"> San Gregorio</t>
  </si>
  <si>
    <t xml:space="preserve"> Cabo de Hornos (Ex Navarino)</t>
  </si>
  <si>
    <t xml:space="preserve"> Antártica</t>
  </si>
  <si>
    <t xml:space="preserve"> Porvenir</t>
  </si>
  <si>
    <t xml:space="preserve"> Primavera</t>
  </si>
  <si>
    <t xml:space="preserve"> Timaukel</t>
  </si>
  <si>
    <t xml:space="preserve"> Natales</t>
  </si>
  <si>
    <t xml:space="preserve"> Torres del Paine</t>
  </si>
  <si>
    <t xml:space="preserve"> Santiago</t>
  </si>
  <si>
    <t xml:space="preserve"> Cerrillos</t>
  </si>
  <si>
    <t xml:space="preserve"> Cerro Navia</t>
  </si>
  <si>
    <t xml:space="preserve"> Conchalí</t>
  </si>
  <si>
    <t xml:space="preserve"> El Bosque</t>
  </si>
  <si>
    <t xml:space="preserve"> Estación Central</t>
  </si>
  <si>
    <t xml:space="preserve"> Huechuraba</t>
  </si>
  <si>
    <t xml:space="preserve"> Independencia</t>
  </si>
  <si>
    <t xml:space="preserve"> La Cisterna</t>
  </si>
  <si>
    <t xml:space="preserve"> La Florida</t>
  </si>
  <si>
    <t xml:space="preserve"> La Granja</t>
  </si>
  <si>
    <t xml:space="preserve"> La Pintana</t>
  </si>
  <si>
    <t xml:space="preserve"> La Reina</t>
  </si>
  <si>
    <t xml:space="preserve"> Las Condes</t>
  </si>
  <si>
    <t xml:space="preserve"> Lo Barnechea</t>
  </si>
  <si>
    <t xml:space="preserve"> Lo Espejo</t>
  </si>
  <si>
    <t xml:space="preserve"> Lo Prado</t>
  </si>
  <si>
    <t xml:space="preserve"> Macul</t>
  </si>
  <si>
    <t xml:space="preserve"> Maipú</t>
  </si>
  <si>
    <t xml:space="preserve"> Pedro Aguirre Cerda</t>
  </si>
  <si>
    <t xml:space="preserve"> Peñalolén</t>
  </si>
  <si>
    <t xml:space="preserve"> Providencia</t>
  </si>
  <si>
    <t xml:space="preserve"> Pudahuel</t>
  </si>
  <si>
    <t xml:space="preserve"> Quilicura</t>
  </si>
  <si>
    <t xml:space="preserve"> Quinta Normal</t>
  </si>
  <si>
    <t xml:space="preserve"> Recoleta</t>
  </si>
  <si>
    <t xml:space="preserve"> Renca</t>
  </si>
  <si>
    <t xml:space="preserve"> San Joaquín</t>
  </si>
  <si>
    <t xml:space="preserve"> San Miguel</t>
  </si>
  <si>
    <t xml:space="preserve"> San Ramón</t>
  </si>
  <si>
    <t xml:space="preserve"> Vitacura</t>
  </si>
  <si>
    <t xml:space="preserve"> Puente Alto</t>
  </si>
  <si>
    <t xml:space="preserve"> Pirque</t>
  </si>
  <si>
    <t xml:space="preserve"> San José de Maipo</t>
  </si>
  <si>
    <t xml:space="preserve"> Colina</t>
  </si>
  <si>
    <t xml:space="preserve"> Lampa</t>
  </si>
  <si>
    <t xml:space="preserve"> Tiltil</t>
  </si>
  <si>
    <t xml:space="preserve"> San Bernardo</t>
  </si>
  <si>
    <t xml:space="preserve"> Buin</t>
  </si>
  <si>
    <t xml:space="preserve"> Calera de Tango</t>
  </si>
  <si>
    <t xml:space="preserve"> Paine</t>
  </si>
  <si>
    <t xml:space="preserve"> Melipilla</t>
  </si>
  <si>
    <t xml:space="preserve"> Alhué</t>
  </si>
  <si>
    <t xml:space="preserve"> Curacaví</t>
  </si>
  <si>
    <t xml:space="preserve"> María Pinto</t>
  </si>
  <si>
    <t xml:space="preserve"> San Pedro</t>
  </si>
  <si>
    <t xml:space="preserve"> Talagante</t>
  </si>
  <si>
    <t xml:space="preserve"> El Monte</t>
  </si>
  <si>
    <t xml:space="preserve"> Isla de Maipo</t>
  </si>
  <si>
    <t xml:space="preserve"> Padre Hurtado</t>
  </si>
  <si>
    <t xml:space="preserve"> Peñaflor</t>
  </si>
  <si>
    <t xml:space="preserve"> Valdivia</t>
  </si>
  <si>
    <t xml:space="preserve"> Corral</t>
  </si>
  <si>
    <t xml:space="preserve"> Lanco</t>
  </si>
  <si>
    <t xml:space="preserve"> Los Lagos</t>
  </si>
  <si>
    <t xml:space="preserve"> Máfil</t>
  </si>
  <si>
    <t xml:space="preserve"> Mariquina</t>
  </si>
  <si>
    <t xml:space="preserve"> Paillaco</t>
  </si>
  <si>
    <t xml:space="preserve"> Panguipulli</t>
  </si>
  <si>
    <t xml:space="preserve"> La Unión</t>
  </si>
  <si>
    <t xml:space="preserve"> Futrono</t>
  </si>
  <si>
    <t xml:space="preserve"> Lago Ranco</t>
  </si>
  <si>
    <t xml:space="preserve"> Río Bueno</t>
  </si>
  <si>
    <t xml:space="preserve"> Arica</t>
  </si>
  <si>
    <t xml:space="preserve"> Camarones</t>
  </si>
  <si>
    <t xml:space="preserve"> Putre</t>
  </si>
  <si>
    <t xml:space="preserve"> General Lagos</t>
  </si>
  <si>
    <t xml:space="preserve">FORMATO CREACIÓN Y CAPITALIZACIÓN DE ACTIVOS FIJOS </t>
  </si>
  <si>
    <t>SOCIEDAD:</t>
  </si>
  <si>
    <t>FECHA:</t>
  </si>
  <si>
    <t>ÁREA:</t>
  </si>
  <si>
    <t>RESPONSABLE DEL ACTIVO FIJO:</t>
  </si>
  <si>
    <t>LIDER DE ÁREA:</t>
  </si>
  <si>
    <t>SOLICITUD:</t>
  </si>
  <si>
    <t>Aplica solo para Liquidación de Proyectos</t>
  </si>
  <si>
    <t>Ítem</t>
  </si>
  <si>
    <t xml:space="preserve">Orden de Inversión </t>
  </si>
  <si>
    <t>Elemento PEP</t>
  </si>
  <si>
    <t>Pedido</t>
  </si>
  <si>
    <t>Descipción Activo SAP</t>
  </si>
  <si>
    <t xml:space="preserve">Clase Clase </t>
  </si>
  <si>
    <t>Cantidad</t>
  </si>
  <si>
    <t>Nombre principal del activo fijo</t>
  </si>
  <si>
    <t>Nombre del activo fijo (información adicional)</t>
  </si>
  <si>
    <t>Fabricante</t>
  </si>
  <si>
    <t>Nit Proveedor</t>
  </si>
  <si>
    <t>Serie</t>
  </si>
  <si>
    <t>Denominación Tipo</t>
  </si>
  <si>
    <t>Criterio de Clasificación 1</t>
  </si>
  <si>
    <t>Criterio de Clasificación 2</t>
  </si>
  <si>
    <t>Criterio de Clasificación 3</t>
  </si>
  <si>
    <t>Criterio de Clasificación 4</t>
  </si>
  <si>
    <t>Criterio de Clasificación 5</t>
  </si>
  <si>
    <t>Ubicación técnica</t>
  </si>
  <si>
    <t>Activo eléctrico/No Eléctrico</t>
  </si>
  <si>
    <t>Contrato Conexión/UPME</t>
  </si>
  <si>
    <t>Centro</t>
  </si>
  <si>
    <t>Código País</t>
  </si>
  <si>
    <t>Material (Número de Inventario)</t>
  </si>
  <si>
    <t>Centro de Costo</t>
  </si>
  <si>
    <t>Número de personal</t>
  </si>
  <si>
    <t>Centro de Costo Responsable</t>
  </si>
  <si>
    <t>Subestación</t>
  </si>
  <si>
    <t>Vida Útil Estimada</t>
  </si>
  <si>
    <t>Activo Fijo</t>
  </si>
  <si>
    <t>Valor Unitario</t>
  </si>
  <si>
    <t>Porcentaje</t>
  </si>
  <si>
    <t>Estado de registro</t>
  </si>
  <si>
    <t>Clase AF (ANLKL)</t>
  </si>
  <si>
    <t>Sociedad (BUKRS)</t>
  </si>
  <si>
    <t>Cantidad AF iguales (NASSETS)</t>
  </si>
  <si>
    <t xml:space="preserve"> Postcapitalización de un inmov. (XNACH)</t>
  </si>
  <si>
    <t>Denominación del activo fijo (TXT50)</t>
  </si>
  <si>
    <t>Denominación del activo fijo (cont.) (TXA50)</t>
  </si>
  <si>
    <t>Texto número principal AF (ANLHTXT)</t>
  </si>
  <si>
    <t>Número de serie (SERNR)</t>
  </si>
  <si>
    <t>Número de inventario (INVNR)</t>
  </si>
  <si>
    <t>Cantidad (MENGE)</t>
  </si>
  <si>
    <t>Unidad de medida base (MEINS)</t>
  </si>
  <si>
    <t>Se gestiona históricamente el AF (XHIST)</t>
  </si>
  <si>
    <t>Fecha del último inventario (IVDAT)</t>
  </si>
  <si>
    <t>Indicador de inventario (INKEN)</t>
  </si>
  <si>
    <t>Datos adicionales de inventario (INVZU)</t>
  </si>
  <si>
    <t>Fecha de capitalización del activo fijo (AKTIV)</t>
  </si>
  <si>
    <t>Serial (ZZSERNR)</t>
  </si>
  <si>
    <t>Elemento PEP: Proyecto de inv. (ZZPOSNR)</t>
  </si>
  <si>
    <t>División (GSBER)</t>
  </si>
  <si>
    <t>Centro de coste (KOSTL)</t>
  </si>
  <si>
    <t>CeCo responsable del activo fijo (KOSTLV)</t>
  </si>
  <si>
    <t>Clase de actividad (LSTAR)</t>
  </si>
  <si>
    <t>Centro (WERKS)</t>
  </si>
  <si>
    <t>Ord.costes (CAUFN)</t>
  </si>
  <si>
    <t>Orden mantenimiento (IAUFN)</t>
  </si>
  <si>
    <t>Emplazamiento del activo fijo (STORT)</t>
  </si>
  <si>
    <t>Local (RAUMN)</t>
  </si>
  <si>
    <t>Matrícula de vehículo (KFZKZ)</t>
  </si>
  <si>
    <t>Número de personal (PERNR)</t>
  </si>
  <si>
    <t>Factor de turnos (MSFAK)</t>
  </si>
  <si>
    <t>Fondo (GEBER)</t>
  </si>
  <si>
    <t>Área Funcional (FKBER)</t>
  </si>
  <si>
    <t>Centro gestor (FISTL)</t>
  </si>
  <si>
    <t>Ubicación técnica (ZZTPLNR)</t>
  </si>
  <si>
    <t>Unidad Generadora Efectivo (ZZUNDGENEFEC)</t>
  </si>
  <si>
    <t>Criterio de clasificación 1 (ORD41)</t>
  </si>
  <si>
    <t>Criterio de clasificación 2 (ORD42)</t>
  </si>
  <si>
    <t>Criterio de clasificación 3 (ORD43)</t>
  </si>
  <si>
    <t>Criterio de clasificación 4 (ORD44)</t>
  </si>
  <si>
    <t>Criterio de clasificación 5 (GDLGRP)</t>
  </si>
  <si>
    <t>Destino de la inversión (IZWEK)</t>
  </si>
  <si>
    <t>Supranúmero de activo fijo (ANLUE)</t>
  </si>
  <si>
    <t>Cantidad de equipos (EQANZ)</t>
  </si>
  <si>
    <t>Acreedor (otra palabra clave) (LIFNR)</t>
  </si>
  <si>
    <t>Fabricante del activo fijo (HERST)</t>
  </si>
  <si>
    <t xml:space="preserve"> Indicador: El AF comprado nuevo (XNEU_AM)</t>
  </si>
  <si>
    <t>Indicador: AF comprado de 2° mano (XGBR_AM)</t>
  </si>
  <si>
    <t>País de origen del activo fijo (LAND1)</t>
  </si>
  <si>
    <t>Denominación de tipo(TYPBZ)</t>
  </si>
  <si>
    <t>Orden de inversión (EAUFN)</t>
  </si>
  <si>
    <t>Elemento PEP: Proyecto de inversión (POSNR)</t>
  </si>
  <si>
    <t>País</t>
  </si>
  <si>
    <t>Colombia</t>
  </si>
  <si>
    <t>Chile</t>
  </si>
  <si>
    <t>CEYA</t>
  </si>
  <si>
    <t>RPAE</t>
  </si>
  <si>
    <t>CTMP</t>
  </si>
  <si>
    <t>Perú</t>
  </si>
  <si>
    <t>REPD</t>
  </si>
  <si>
    <t>ISAP</t>
  </si>
  <si>
    <t>Descripción Clase (filtrada)</t>
  </si>
  <si>
    <t>CONFIGURACIÓN DE CAMPOS REQUERIDOS POR SOCIEDAD</t>
  </si>
  <si>
    <t>[{"reqCol":1,"fmtCol":"C","name":"Orden de Inversión"},{"reqCol":2,"fmtCol":"D","name":"Elemento PEP"},{"reqCol":3,"fmtCol":"E","name":"Pedido"},{"reqCol":4,"fmtCol":"F","name":"Descripción Activo SAP"},{"reqCol":5,"fmtCol":"G","name":"Clase"},{"reqCol":6,"fmtCol":"H","name":"Cantidad"},{"reqCol":7,"fmtCol":"I","name":"Nombre principal AF"},{"reqCol":8,"fmtCol":"L","name":"Fabricante"},{"reqCol":9,"fmtCol":"M","name":"Nit Proveedor"},{"reqCol":10,"fmtCol":"N","name":"Serie"},{"reqCol":11,"fmtCol":"P","name":"Criterio de Clasificación 1"},{"reqCol":12,"fmtCol":"Q","name":"Criterio de Clasificación 2"},{"reqCol":13,"fmtCol":"R","name":"Criterio de Clasificación 3"},{"reqCol":14,"fmtCol":"S","name":"Criterio de Clasificación 4"},{"reqCol":15,"fmtCol":"T","name":"Criterio de Clasificación 5"},{"reqCol":16,"fmtCol":"U","name":"Ubicación técnica"},{"reqCol":17,"fmtCol":"X","name":"Centro"},{"reqCol":18,"fmtCol":"Y","name":"Código País"},{"reqCol":19,"fmtCol":"Z","name":"Emplazamiento"},{"reqCol":20,"fmtCol":"AB","name":"Centro de Costo"},{"reqCol":21,"fmtCol":"AC","name":"Número de personal"},{"reqCol":22,"fmtCol":"AH","name":"Valor Unitario"}]</t>
  </si>
  <si>
    <t>ℹ️ INSTRUCCIONES:</t>
  </si>
  <si>
    <t>• En la tabla siguiente, escriba SI en la celda correspondiente a Sociedad + Campo para marcarlo como REQUERIDO.</t>
  </si>
  <si>
    <t>• Deje en blanco o escriba NO si el campo NO es requerido para esa sociedad.</t>
  </si>
  <si>
    <t>• Puede agregar nuevas sociedades en nuevas filas siguiendo el mismo formato.</t>
  </si>
  <si>
    <t>• Los cambios aquí se reflejan automáticamente en la validación del Formato.</t>
  </si>
  <si>
    <t>Col. Formato →</t>
  </si>
  <si>
    <t>C</t>
  </si>
  <si>
    <t>D</t>
  </si>
  <si>
    <t>E</t>
  </si>
  <si>
    <t>F</t>
  </si>
  <si>
    <t>G</t>
  </si>
  <si>
    <t>H</t>
  </si>
  <si>
    <t>I</t>
  </si>
  <si>
    <t>L</t>
  </si>
  <si>
    <t>M</t>
  </si>
  <si>
    <t>N</t>
  </si>
  <si>
    <t>P</t>
  </si>
  <si>
    <t>Q</t>
  </si>
  <si>
    <t>R</t>
  </si>
  <si>
    <t>S</t>
  </si>
  <si>
    <t>T</t>
  </si>
  <si>
    <t>U</t>
  </si>
  <si>
    <t>X</t>
  </si>
  <si>
    <t>Y</t>
  </si>
  <si>
    <t>Z</t>
  </si>
  <si>
    <t>AB</t>
  </si>
  <si>
    <t>AC</t>
  </si>
  <si>
    <t>AH</t>
  </si>
  <si>
    <t>Orden de Inversión</t>
  </si>
  <si>
    <t>Descripción Activo SAP</t>
  </si>
  <si>
    <t>Clase</t>
  </si>
  <si>
    <t>Nombre principal AF</t>
  </si>
  <si>
    <t>Criterio Clas. 1</t>
  </si>
  <si>
    <t>Criterio Clas. 2</t>
  </si>
  <si>
    <t>Criterio Clas. 3</t>
  </si>
  <si>
    <t>Criterio Clas. 4</t>
  </si>
  <si>
    <t>Criterio Clas. 5</t>
  </si>
  <si>
    <t>SI</t>
  </si>
  <si>
    <t>✅ Checklist de Validación</t>
  </si>
  <si>
    <t>NO</t>
  </si>
  <si>
    <t>Preguntas</t>
  </si>
  <si>
    <t>Respuesta</t>
  </si>
  <si>
    <r>
      <rPr>
        <sz val="14"/>
        <color rgb="FF002060"/>
        <rFont val="Aptos Narrow"/>
        <family val="2"/>
        <scheme val="minor"/>
      </rPr>
      <t xml:space="preserve">✅ </t>
    </r>
    <r>
      <rPr>
        <b/>
        <sz val="14"/>
        <color rgb="FF002060"/>
        <rFont val="Aptos Narrow"/>
        <family val="2"/>
        <scheme val="minor"/>
      </rPr>
      <t>Paso 2:</t>
    </r>
    <r>
      <rPr>
        <sz val="14"/>
        <color rgb="FF002060"/>
        <rFont val="Aptos Narrow"/>
        <family val="2"/>
        <scheme val="minor"/>
      </rPr>
      <t xml:space="preserve"> </t>
    </r>
    <r>
      <rPr>
        <sz val="14"/>
        <color theme="1"/>
        <rFont val="Aptos Narrow"/>
        <family val="2"/>
        <scheme val="minor"/>
      </rPr>
      <t>Seleccione una respuesta del siguiente listado (SI/NO)</t>
    </r>
  </si>
  <si>
    <r>
      <rPr>
        <sz val="14"/>
        <color rgb="FF002060"/>
        <rFont val="Aptos Narrow"/>
        <family val="2"/>
        <scheme val="minor"/>
      </rPr>
      <t xml:space="preserve">✅ </t>
    </r>
    <r>
      <rPr>
        <b/>
        <sz val="14"/>
        <color rgb="FF002060"/>
        <rFont val="Aptos Narrow"/>
        <family val="2"/>
        <scheme val="minor"/>
      </rPr>
      <t>Paso 1:</t>
    </r>
    <r>
      <rPr>
        <sz val="14"/>
        <color theme="1"/>
        <rFont val="Aptos Narrow"/>
        <family val="2"/>
        <scheme val="minor"/>
      </rPr>
      <t xml:space="preserve"> Seleccione la PAIS a la cual se realizará la creación de activos.</t>
    </r>
  </si>
  <si>
    <t>zco:objcostos</t>
  </si>
  <si>
    <t>WARNING</t>
  </si>
  <si>
    <t>Países</t>
  </si>
  <si>
    <t>CONFIGURACIÓN PREGUNTAS CHECKLIST POR PAÍS</t>
  </si>
  <si>
    <t>ℹ️ Escriba SI para mostrar la pregunta en ese país. Deje vacío o NO para ocultarla.</t>
  </si>
  <si>
    <t>ℹ️ Para agregar un nuevo país: agregue una nueva fila con el nombre del país y sus SI/NO.</t>
  </si>
  <si>
    <t>País →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</si>
  <si>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</si>
  <si>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</si>
  <si>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</si>
  <si>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</si>
  <si>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</si>
  <si>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</si>
  <si>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</si>
  <si>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</si>
  <si>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</si>
  <si>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</si>
  <si>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</si>
  <si>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¿PUEDE SER CREADO COMO ACTIVO FIJO?</t>
  </si>
  <si>
    <t>FILIAL</t>
  </si>
  <si>
    <t>1. ¿El activo es un recurso tangible controlado por la compañía?</t>
  </si>
  <si>
    <t>2. ¿Se espera que el activo sea utilizado en el giro normal del negocio por más de un año?</t>
  </si>
  <si>
    <t>3. ¿Es probable que el activo genere beneficios económicos o apoye funciones administrativas?</t>
  </si>
  <si>
    <t>4. ¿Su valor puede ser medido de forma confiable y razonable?</t>
  </si>
  <si>
    <t>5. ¿El valor del activo supera 2.5 Salarios Mínimos Mensuales Legales Vigentes (SMMLV)?</t>
  </si>
  <si>
    <t>6. ¿Es de interés para la organización, de tal forma que esté dispuesta a realizarle seguimiento y control como propiedad, planta y equipo?</t>
  </si>
  <si>
    <t>7. ¿El activo supera el valor de 1/4 de UIT (Unidad Impositiva Tributaria)?</t>
  </si>
  <si>
    <t>8. ¿El equipo va a ser reemplazado en alguna concesión?</t>
  </si>
  <si>
    <t>9. ¿Pertenece a un proyecto?</t>
  </si>
  <si>
    <t>10. ¿Se compra a través de una orden estadística según tipo de activo (diversos, inmuebles)?</t>
  </si>
  <si>
    <t>11. ¿El activo no está sincronizado AA-PM por la fecha de montaje y esta se reporta al Ministerio/Osinerming?</t>
  </si>
  <si>
    <t>EXCLUSIVO PARA FILIALES DE PERÚ</t>
  </si>
  <si>
    <t>Respuesta SI/NO</t>
  </si>
  <si>
    <t>un</t>
  </si>
  <si>
    <t>BM2501019994</t>
  </si>
  <si>
    <t>RI-POAS1-1.2.02</t>
  </si>
  <si>
    <t xml:space="preserve">Tran </t>
  </si>
  <si>
    <t>SCAR230M03ME-SASCC</t>
  </si>
  <si>
    <t>SIEMENS</t>
  </si>
  <si>
    <t>05649</t>
  </si>
  <si>
    <t>Controlador campo - Prueba 3</t>
  </si>
  <si>
    <t>Controlador campo - Prueba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</si>
</sst>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Aptos Narrow"/>
      <family val="2"/>
      <scheme val="minor"/>
    </font>
    <font>
      <sz val="10"/>
      <name val="Arial"/>
      <family val="2"/>
    </font>
    <font>
      <b/>
      <sz val="11"/>
      <color rgb="FFFFFFF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3"/>
      <color rgb="FFFFFFFF"/>
      <name val="Aptos Narrow"/>
      <family val="2"/>
      <scheme val="minor"/>
    </font>
    <font>
      <b/>
      <sz val="11"/>
      <color rgb="FF1F3864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rgb="FFFFFFFF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rgb="FF0064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color theme="1"/>
      <name val="Calibri Light"/>
      <family val="2"/>
    </font>
    <font>
      <b/>
      <sz val="11"/>
      <color rgb="FF003366"/>
      <name val="Calibri Light"/>
      <family val="2"/>
    </font>
    <font>
      <b/>
      <sz val="12"/>
      <name val="Calibri Light"/>
      <family val="2"/>
    </font>
    <font>
      <sz val="10"/>
      <name val="Calibri Light"/>
      <family val="2"/>
    </font>
    <font>
      <b/>
      <sz val="12"/>
      <color theme="0"/>
      <name val="Calibri Light"/>
      <family val="2"/>
    </font>
    <font>
      <sz val="10"/>
      <color indexed="8"/>
      <name val="Calibri Light"/>
      <family val="2"/>
    </font>
    <font>
      <sz val="12"/>
      <color theme="1"/>
      <name val="Calibri Light"/>
      <family val="2"/>
    </font>
    <font>
      <b/>
      <sz val="16"/>
      <color rgb="FF002060"/>
      <name val="Aptos Narrow"/>
      <family val="2"/>
      <scheme val="minor"/>
    </font>
    <font>
      <b/>
      <sz val="14"/>
      <color rgb="FF002060"/>
      <name val="Aptos Narrow"/>
      <family val="2"/>
      <scheme val="minor"/>
    </font>
    <font>
      <sz val="14"/>
      <color rgb="FF002060"/>
      <name val="Aptos Narrow"/>
      <family val="2"/>
      <scheme val="minor"/>
    </font>
    <font>
      <b/>
      <sz val="12"/>
      <color rgb="FF002060"/>
      <name val="Aptos Narrow"/>
      <family val="2"/>
      <scheme val="minor"/>
    </font>
    <font>
      <b/>
      <sz val="12"/>
      <color rgb="FF002060"/>
      <name val="Calibri Light"/>
      <family val="2"/>
    </font>
    <font>
      <b/>
      <sz val="26"/>
      <color rgb="FF002060"/>
      <name val="Calibri Light"/>
      <family val="2"/>
    </font>
    <font>
      <b/>
      <sz val="11"/>
      <name val="Calibri Light"/>
      <family val="2"/>
    </font>
    <font>
      <sz val="11"/>
      <name val="Calibri Light"/>
      <family val="2"/>
    </font>
    <font>
      <b/>
      <sz val="11"/>
      <color rgb="FF000080"/>
      <name val="Calibri Light"/>
      <family val="2"/>
    </font>
    <font>
      <b/>
      <sz val="11"/>
      <color rgb="FFFF0000"/>
      <name val="Calibri Light"/>
      <family val="2"/>
    </font>
    <font>
      <b/>
      <sz val="36"/>
      <color theme="0"/>
      <name val="Calibri Light"/>
      <family val="2"/>
    </font>
    <font>
      <b/>
      <sz val="12"/>
      <color rgb="FFF86803"/>
      <name val="Calibri Light"/>
      <family val="2"/>
    </font>
    <font>
      <b/>
      <sz val="26"/>
      <color theme="0"/>
      <name val="Calibri Light"/>
      <family val="2"/>
    </font>
    <font>
      <b/>
      <sz val="11"/>
      <color rgb="FFF86803"/>
      <name val="Calibri Light"/>
      <family val="2"/>
    </font>
    <font>
      <b/>
      <sz val="12"/>
      <color rgb="FFFFFFFF"/>
      <name val="Aptos Narrow"/>
      <family val="2"/>
      <scheme val="minor"/>
    </font>
    <font>
      <i/>
      <sz val="11"/>
      <color rgb="FF1F3864"/>
      <name val="Aptos Narrow"/>
      <family val="2"/>
      <scheme val="minor"/>
    </font>
    <font>
      <sz val="12"/>
      <color rgb="FF000000"/>
      <name val="Arial Nova"/>
      <family val="2"/>
    </font>
    <font>
      <sz val="11"/>
      <name val="Arial Narrow"/>
      <family val="2"/>
    </font>
  </fonts>
  <fills count="1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8680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9" fontId="1" fillId="0" borderId="0"/>
  </cellStyleXfs>
  <cellXfs count="8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2" xfId="0" applyBorder="1"/>
    <xf numFmtId="0" fontId="0" fillId="0" borderId="1" xfId="0" applyBorder="1" applyAlignment="1">
      <alignment horizontal="left" vertical="top"/>
    </xf>
    <xf numFmtId="0" fontId="0" fillId="0" borderId="1" xfId="0" quotePrefix="1" applyBorder="1"/>
    <xf numFmtId="0" fontId="7" fillId="4" borderId="0" xfId="0" applyFont="1" applyFill="1" applyAlignment="1">
      <alignment horizontal="center"/>
    </xf>
    <xf numFmtId="0" fontId="8" fillId="0" borderId="0" xfId="0" applyFont="1"/>
    <xf numFmtId="0" fontId="9" fillId="0" borderId="1" xfId="0" applyFont="1" applyBorder="1"/>
    <xf numFmtId="0" fontId="9" fillId="0" borderId="1" xfId="0" applyFont="1" applyBorder="1" applyAlignment="1">
      <alignment horizontal="left" vertical="top"/>
    </xf>
    <xf numFmtId="0" fontId="10" fillId="4" borderId="0" xfId="0" applyFont="1" applyFill="1"/>
    <xf numFmtId="0" fontId="11" fillId="0" borderId="0" xfId="0" applyFont="1"/>
    <xf numFmtId="0" fontId="12" fillId="0" borderId="0" xfId="0" applyFont="1"/>
    <xf numFmtId="0" fontId="13" fillId="5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4" fillId="6" borderId="0" xfId="0" applyFont="1" applyFill="1" applyAlignment="1">
      <alignment horizontal="center"/>
    </xf>
    <xf numFmtId="0" fontId="12" fillId="6" borderId="0" xfId="0" applyFont="1" applyFill="1" applyAlignment="1">
      <alignment horizontal="center"/>
    </xf>
    <xf numFmtId="0" fontId="16" fillId="0" borderId="0" xfId="0" applyFont="1"/>
    <xf numFmtId="0" fontId="0" fillId="0" borderId="0" xfId="0" applyAlignment="1">
      <alignment wrapText="1"/>
    </xf>
    <xf numFmtId="0" fontId="18" fillId="3" borderId="0" xfId="0" applyFont="1" applyFill="1" applyAlignment="1" applyProtection="1">
      <alignment vertical="center"/>
      <protection locked="0"/>
    </xf>
    <xf numFmtId="0" fontId="19" fillId="0" borderId="0" xfId="0" applyFont="1" applyAlignment="1" applyProtection="1">
      <alignment horizontal="left"/>
      <protection locked="0"/>
    </xf>
    <xf numFmtId="0" fontId="18" fillId="0" borderId="0" xfId="0" applyFont="1" applyAlignment="1" applyProtection="1">
      <alignment vertical="center"/>
      <protection locked="0"/>
    </xf>
    <xf numFmtId="0" fontId="18" fillId="0" borderId="0" xfId="0" applyFont="1" applyAlignment="1">
      <alignment vertical="center"/>
    </xf>
    <xf numFmtId="0" fontId="18" fillId="3" borderId="3" xfId="0" applyFont="1" applyFill="1" applyBorder="1" applyAlignment="1" applyProtection="1">
      <alignment vertical="center"/>
      <protection locked="0"/>
    </xf>
    <xf numFmtId="0" fontId="18" fillId="3" borderId="3" xfId="0" applyFont="1" applyFill="1" applyBorder="1" applyAlignment="1" applyProtection="1">
      <alignment horizontal="center" vertical="center"/>
      <protection locked="0"/>
    </xf>
    <xf numFmtId="0" fontId="21" fillId="0" borderId="0" xfId="1" applyFont="1" applyAlignment="1">
      <alignment vertical="center"/>
    </xf>
    <xf numFmtId="0" fontId="18" fillId="3" borderId="0" xfId="0" applyFont="1" applyFill="1" applyAlignment="1" applyProtection="1">
      <alignment horizontal="center" vertical="center"/>
      <protection locked="0"/>
    </xf>
    <xf numFmtId="0" fontId="24" fillId="3" borderId="3" xfId="0" applyFont="1" applyFill="1" applyBorder="1" applyAlignment="1" applyProtection="1">
      <alignment horizontal="center" vertical="center"/>
      <protection locked="0"/>
    </xf>
    <xf numFmtId="0" fontId="20" fillId="0" borderId="0" xfId="1" applyFont="1" applyAlignment="1">
      <alignment horizontal="center" vertical="center" wrapText="1"/>
    </xf>
    <xf numFmtId="0" fontId="24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0" fontId="9" fillId="0" borderId="0" xfId="0" applyFont="1"/>
    <xf numFmtId="0" fontId="9" fillId="0" borderId="0" xfId="0" applyFont="1" applyAlignment="1">
      <alignment wrapText="1"/>
    </xf>
    <xf numFmtId="0" fontId="28" fillId="0" borderId="4" xfId="0" applyFont="1" applyBorder="1" applyAlignment="1">
      <alignment horizontal="center"/>
    </xf>
    <xf numFmtId="0" fontId="28" fillId="0" borderId="6" xfId="0" applyFont="1" applyBorder="1"/>
    <xf numFmtId="0" fontId="28" fillId="0" borderId="6" xfId="0" applyFont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9" fillId="0" borderId="0" xfId="1" applyFont="1" applyAlignment="1" applyProtection="1">
      <alignment horizontal="left" vertical="center"/>
      <protection locked="0"/>
    </xf>
    <xf numFmtId="0" fontId="20" fillId="3" borderId="0" xfId="1" applyFont="1" applyFill="1" applyAlignment="1" applyProtection="1">
      <alignment vertical="center"/>
      <protection locked="0"/>
    </xf>
    <xf numFmtId="0" fontId="20" fillId="0" borderId="0" xfId="1" applyFont="1" applyAlignment="1" applyProtection="1">
      <alignment horizontal="left" vertical="center"/>
      <protection locked="0"/>
    </xf>
    <xf numFmtId="0" fontId="29" fillId="0" borderId="0" xfId="1" applyFont="1" applyAlignment="1" applyProtection="1">
      <alignment horizontal="left" vertical="center" wrapText="1"/>
      <protection locked="0"/>
    </xf>
    <xf numFmtId="0" fontId="20" fillId="3" borderId="0" xfId="1" applyFont="1" applyFill="1" applyAlignment="1" applyProtection="1">
      <alignment horizontal="left" vertical="center"/>
      <protection locked="0"/>
    </xf>
    <xf numFmtId="0" fontId="21" fillId="3" borderId="0" xfId="1" applyFont="1" applyFill="1" applyAlignment="1" applyProtection="1">
      <alignment vertical="center"/>
      <protection locked="0"/>
    </xf>
    <xf numFmtId="0" fontId="23" fillId="3" borderId="0" xfId="1" applyFont="1" applyFill="1" applyAlignment="1" applyProtection="1">
      <alignment vertical="center"/>
      <protection locked="0"/>
    </xf>
    <xf numFmtId="0" fontId="21" fillId="0" borderId="0" xfId="1" applyFont="1" applyAlignment="1" applyProtection="1">
      <alignment vertical="center"/>
      <protection locked="0"/>
    </xf>
    <xf numFmtId="0" fontId="32" fillId="0" borderId="0" xfId="1" applyFont="1" applyAlignment="1">
      <alignment horizontal="center" vertical="center"/>
    </xf>
    <xf numFmtId="0" fontId="22" fillId="2" borderId="0" xfId="1" applyFont="1" applyFill="1" applyAlignment="1" applyProtection="1">
      <alignment horizontal="center" vertical="center" wrapText="1"/>
      <protection locked="0"/>
    </xf>
    <xf numFmtId="0" fontId="22" fillId="2" borderId="0" xfId="1" applyFont="1" applyFill="1" applyAlignment="1">
      <alignment horizontal="center" vertical="center" wrapText="1"/>
    </xf>
    <xf numFmtId="0" fontId="22" fillId="7" borderId="0" xfId="1" applyFont="1" applyFill="1" applyAlignment="1" applyProtection="1">
      <alignment horizontal="center" vertical="center" wrapText="1"/>
      <protection locked="0"/>
    </xf>
    <xf numFmtId="0" fontId="31" fillId="0" borderId="1" xfId="1" applyFont="1" applyBorder="1" applyAlignment="1" applyProtection="1">
      <alignment horizontal="center" vertical="center"/>
      <protection locked="0"/>
    </xf>
    <xf numFmtId="0" fontId="32" fillId="0" borderId="1" xfId="1" applyFont="1" applyBorder="1" applyAlignment="1" applyProtection="1">
      <alignment horizontal="center" vertical="center" wrapText="1"/>
      <protection locked="0"/>
    </xf>
    <xf numFmtId="0" fontId="32" fillId="0" borderId="1" xfId="1" applyFont="1" applyBorder="1" applyAlignment="1">
      <alignment horizontal="center" vertical="center" wrapText="1"/>
    </xf>
    <xf numFmtId="0" fontId="32" fillId="0" borderId="1" xfId="1" applyFont="1" applyBorder="1" applyAlignment="1" applyProtection="1">
      <alignment horizontal="center" vertical="center"/>
      <protection locked="0"/>
    </xf>
    <xf numFmtId="0" fontId="33" fillId="0" borderId="1" xfId="0" applyFont="1" applyBorder="1" applyAlignment="1" applyProtection="1">
      <alignment horizontal="center" vertical="center"/>
      <protection locked="0"/>
    </xf>
    <xf numFmtId="10" fontId="32" fillId="0" borderId="1" xfId="2" applyNumberFormat="1" applyFont="1" applyBorder="1" applyAlignment="1" applyProtection="1">
      <alignment horizontal="left" vertical="center" indent="2"/>
      <protection locked="0"/>
    </xf>
    <xf numFmtId="0" fontId="34" fillId="0" borderId="1" xfId="1" applyFont="1" applyBorder="1" applyAlignment="1">
      <alignment horizontal="center" vertical="center"/>
    </xf>
    <xf numFmtId="0" fontId="36" fillId="0" borderId="0" xfId="1" applyFont="1" applyAlignment="1" applyProtection="1">
      <alignment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37" fillId="0" borderId="0" xfId="1" applyFont="1" applyAlignment="1" applyProtection="1">
      <alignment vertical="center"/>
      <protection locked="0"/>
    </xf>
    <xf numFmtId="0" fontId="39" fillId="4" borderId="0" xfId="0" applyFont="1" applyFill="1" applyAlignment="1">
      <alignment horizontal="center"/>
    </xf>
    <xf numFmtId="0" fontId="40" fillId="0" borderId="0" xfId="0" applyFont="1"/>
    <xf numFmtId="0" fontId="0" fillId="8" borderId="0" xfId="0" applyFill="1"/>
    <xf numFmtId="0" fontId="41" fillId="0" borderId="0" xfId="0" applyFont="1" applyProtection="1">
      <protection locked="0"/>
    </xf>
    <xf numFmtId="0" fontId="41" fillId="0" borderId="0" xfId="0" applyFont="1" applyAlignment="1" applyProtection="1">
      <alignment horizontal="left"/>
      <protection locked="0"/>
    </xf>
    <xf numFmtId="0" fontId="42" fillId="0" borderId="0" xfId="0" applyFont="1" applyAlignment="1" applyProtection="1">
      <alignment horizontal="left" vertical="center"/>
      <protection locked="0"/>
    </xf>
    <xf numFmtId="0" fontId="0" fillId="9" borderId="0" xfId="0" quotePrefix="1" applyFill="1"/>
    <xf numFmtId="0" fontId="0" fillId="9" borderId="0" xfId="0" applyFill="1"/>
    <xf numFmtId="0" fontId="30" fillId="0" borderId="0" xfId="1" applyFont="1" applyAlignment="1" applyProtection="1">
      <alignment horizontal="center" vertical="center"/>
      <protection locked="0"/>
    </xf>
    <xf numFmtId="0" fontId="38" fillId="0" borderId="0" xfId="0" applyFont="1" applyAlignment="1" applyProtection="1">
      <alignment horizontal="center" vertical="center" wrapText="1"/>
      <protection locked="0"/>
    </xf>
    <xf numFmtId="0" fontId="35" fillId="7" borderId="7" xfId="1" applyFont="1" applyFill="1" applyBorder="1" applyAlignment="1" applyProtection="1">
      <alignment horizontal="center" vertical="center"/>
      <protection locked="0"/>
    </xf>
    <xf numFmtId="0" fontId="35" fillId="7" borderId="8" xfId="1" applyFont="1" applyFill="1" applyBorder="1" applyAlignment="1" applyProtection="1">
      <alignment horizontal="center" vertical="center"/>
      <protection locked="0"/>
    </xf>
    <xf numFmtId="0" fontId="35" fillId="7" borderId="9" xfId="1" applyFont="1" applyFill="1" applyBorder="1" applyAlignment="1" applyProtection="1">
      <alignment horizontal="center" vertical="center"/>
      <protection locked="0"/>
    </xf>
    <xf numFmtId="0" fontId="35" fillId="7" borderId="10" xfId="1" applyFont="1" applyFill="1" applyBorder="1" applyAlignment="1" applyProtection="1">
      <alignment horizontal="center" vertical="center"/>
      <protection locked="0"/>
    </xf>
    <xf numFmtId="0" fontId="35" fillId="7" borderId="11" xfId="1" applyFont="1" applyFill="1" applyBorder="1" applyAlignment="1" applyProtection="1">
      <alignment horizontal="center" vertical="center"/>
      <protection locked="0"/>
    </xf>
    <xf numFmtId="0" fontId="35" fillId="7" borderId="12" xfId="1" applyFont="1" applyFill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center"/>
    </xf>
    <xf numFmtId="0" fontId="25" fillId="7" borderId="4" xfId="0" applyFont="1" applyFill="1" applyBorder="1" applyAlignment="1">
      <alignment horizontal="center"/>
    </xf>
    <xf numFmtId="0" fontId="25" fillId="7" borderId="5" xfId="0" applyFont="1" applyFill="1" applyBorder="1" applyAlignment="1">
      <alignment horizontal="center"/>
    </xf>
    <xf numFmtId="0" fontId="17" fillId="0" borderId="0" xfId="0" applyFont="1" applyAlignment="1">
      <alignment horizontal="left" vertical="top"/>
    </xf>
  </cellXfs>
  <cellStyles count="3">
    <cellStyle name="Normal" xfId="0" builtinId="0"/>
    <cellStyle name="Normal 4" xfId="1" xr:uid="{3283983A-646C-44C7-A2FC-29FE31B28852}"/>
    <cellStyle name="Porcentaje 2" xfId="2" xr:uid="{57290B1F-A1BC-40FC-80FE-1CB63CCFCBB6}"/>
  </cellStyles>
  <dxfs count="6">
    <dxf>
      <font>
        <b/>
        <i val="0"/>
        <color rgb="FF006400"/>
      </font>
    </dxf>
    <dxf>
      <font>
        <b/>
        <i val="0"/>
        <color rgb="FFCC0000"/>
      </font>
    </dxf>
    <dxf>
      <font>
        <b/>
        <i val="0"/>
        <color rgb="FFFFFFFF"/>
      </font>
      <fill>
        <patternFill patternType="solid">
          <fgColor indexed="64"/>
          <bgColor rgb="FF006400"/>
        </patternFill>
      </fill>
    </dxf>
    <dxf>
      <font>
        <b/>
        <i val="0"/>
        <color rgb="FFFFFFFF"/>
      </font>
      <fill>
        <patternFill patternType="solid">
          <fgColor indexed="64"/>
          <bgColor rgb="FFFF0000"/>
        </patternFill>
      </fill>
    </dxf>
    <dxf>
      <font>
        <b/>
        <i val="0"/>
        <color rgb="FFFFFFFF"/>
      </font>
      <fill>
        <patternFill patternType="solid">
          <fgColor indexed="64"/>
          <bgColor rgb="FF006400"/>
        </patternFill>
      </fill>
    </dxf>
    <dxf>
      <font>
        <b/>
        <i val="0"/>
        <color rgb="FFFFFFFF"/>
      </font>
      <fill>
        <patternFill patternType="solid">
          <fgColor indexed="64"/>
          <bgColor rgb="FFFF0000"/>
        </patternFill>
      </fill>
    </dxf>
  </dxfs>
  <tableStyles count="0" defaultTableStyle="TableStyleMedium2" defaultPivotStyle="PivotStyleLight16"/>
  <colors>
    <mruColors>
      <color rgb="FFF86803"/>
      <color rgb="FF0020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</xdr:colOff>
      <xdr:row>37</xdr:row>
      <xdr:rowOff>69850</xdr:rowOff>
    </xdr:from>
    <xdr:to>
      <xdr:col>5</xdr:col>
      <xdr:colOff>655875</xdr:colOff>
      <xdr:row>48</xdr:row>
      <xdr:rowOff>85488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8B8BEDE-3C9B-0727-A22C-5AC424E08B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650" y="8655050"/>
          <a:ext cx="11723925" cy="2117488"/>
        </a:xfrm>
        <a:prstGeom prst="rect">
          <a:avLst/>
        </a:prstGeom>
        <a:ln w="38100" cap="sq">
          <a:solidFill>
            <a:srgbClr val="00206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1</xdr:col>
      <xdr:colOff>152400</xdr:colOff>
      <xdr:row>0</xdr:row>
      <xdr:rowOff>114299</xdr:rowOff>
    </xdr:from>
    <xdr:to>
      <xdr:col>1</xdr:col>
      <xdr:colOff>1962149</xdr:colOff>
      <xdr:row>6</xdr:row>
      <xdr:rowOff>85448</xdr:rowOff>
    </xdr:to>
    <xdr:pic>
      <xdr:nvPicPr>
        <xdr:cNvPr id="4" name="Imagen 3" descr="Imagen que contiene Logotipo&#10;&#10;El contenido generado por IA puede ser incorrecto.">
          <a:extLst>
            <a:ext uri="{FF2B5EF4-FFF2-40B4-BE49-F238E27FC236}">
              <a16:creationId xmlns:a16="http://schemas.microsoft.com/office/drawing/2014/main" id="{E4955F26-4114-E19A-697F-E11C14CF7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2400" y="114299"/>
          <a:ext cx="1809749" cy="10506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168060</xdr:colOff>
      <xdr:row>0</xdr:row>
      <xdr:rowOff>0</xdr:rowOff>
    </xdr:from>
    <xdr:to>
      <xdr:col>2</xdr:col>
      <xdr:colOff>765120</xdr:colOff>
      <xdr:row>9</xdr:row>
      <xdr:rowOff>59102</xdr:rowOff>
    </xdr:to>
    <xdr:pic>
      <xdr:nvPicPr>
        <xdr:cNvPr id="2" name="Imagen 1" descr="Imagen que contiene Logotipo&#10;&#10;El contenido generado por IA puede ser incorrecto.">
          <a:extLst>
            <a:ext uri="{FF2B5EF4-FFF2-40B4-BE49-F238E27FC236}">
              <a16:creationId xmlns:a16="http://schemas.microsoft.com/office/drawing/2014/main" id="{1909CDC4-DFF5-48FD-A705-2CAED640AB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0221" y="0"/>
          <a:ext cx="2857230" cy="1657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336F357-CEB1-5E49-9141-67F4DBEEAA9B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22172495-0970-41ce-9ae1-79def0d4b7f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AD465-D468-8746-A0DD-AF420FB0BC58}">
  <sheetPr codeName="Sheet1">
    <tabColor theme="5"/>
  </sheetPr>
  <dimension ref="A1:B10"/>
  <sheetViews>
    <sheetView workbookViewId="0">
      <selection activeCell="E9" sqref="E9"/>
    </sheetView>
  </sheetViews>
  <sheetFormatPr baseColWidth="10" defaultColWidth="11.453125" defaultRowHeight="14.5" x14ac:dyDescent="0.35"/>
  <sheetData>
    <row r="1" spans="1:2" x14ac:dyDescent="0.35">
      <c r="A1" s="10" t="s">
        <v>652</v>
      </c>
      <c r="B1" s="10" t="s">
        <v>1420</v>
      </c>
    </row>
    <row r="2" spans="1:2" x14ac:dyDescent="0.35">
      <c r="A2" s="4" t="s">
        <v>64</v>
      </c>
      <c r="B2" t="s">
        <v>1421</v>
      </c>
    </row>
    <row r="3" spans="1:2" x14ac:dyDescent="0.35">
      <c r="A3" s="4" t="s">
        <v>162</v>
      </c>
      <c r="B3" t="s">
        <v>1421</v>
      </c>
    </row>
    <row r="4" spans="1:2" x14ac:dyDescent="0.35">
      <c r="A4" s="4" t="s">
        <v>3</v>
      </c>
      <c r="B4" t="s">
        <v>1422</v>
      </c>
    </row>
    <row r="5" spans="1:2" x14ac:dyDescent="0.35">
      <c r="A5" s="4" t="s">
        <v>1423</v>
      </c>
    </row>
    <row r="6" spans="1:2" x14ac:dyDescent="0.35">
      <c r="A6" s="4" t="s">
        <v>375</v>
      </c>
      <c r="B6" t="s">
        <v>1421</v>
      </c>
    </row>
    <row r="7" spans="1:2" x14ac:dyDescent="0.35">
      <c r="A7" s="4" t="s">
        <v>1424</v>
      </c>
    </row>
    <row r="8" spans="1:2" x14ac:dyDescent="0.35">
      <c r="A8" s="4" t="s">
        <v>1425</v>
      </c>
      <c r="B8" t="s">
        <v>1426</v>
      </c>
    </row>
    <row r="9" spans="1:2" x14ac:dyDescent="0.35">
      <c r="A9" s="4" t="s">
        <v>1427</v>
      </c>
      <c r="B9" t="s">
        <v>1426</v>
      </c>
    </row>
    <row r="10" spans="1:2" x14ac:dyDescent="0.35">
      <c r="A10" s="4" t="s">
        <v>1428</v>
      </c>
      <c r="B10" t="s">
        <v>1426</v>
      </c>
    </row>
  </sheetData>
  <pageMargins left="0.7" right="0.7" top="0.75" bottom="0.75" header="0.3" footer="0.3"/>
  <headerFooter>
    <oddFooter>&amp;L_x000D_&amp;1#&amp;"Aptos"&amp;14&amp;K000000 Información Interna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77DF5-A0ED-445C-B3A8-157273BD93A0}">
  <sheetPr codeName="Sheet2">
    <tabColor theme="5"/>
  </sheetPr>
  <dimension ref="A1:C292"/>
  <sheetViews>
    <sheetView topLeftCell="A151" workbookViewId="0">
      <selection activeCell="C181" sqref="C181"/>
    </sheetView>
  </sheetViews>
  <sheetFormatPr baseColWidth="10" defaultColWidth="11.453125" defaultRowHeight="14.5" x14ac:dyDescent="0.35"/>
  <cols>
    <col min="3" max="3" width="48.179687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4</v>
      </c>
      <c r="C2" s="3" t="s">
        <v>5</v>
      </c>
    </row>
    <row r="3" spans="1:3" x14ac:dyDescent="0.35">
      <c r="A3" s="2" t="s">
        <v>3</v>
      </c>
      <c r="B3" s="2" t="s">
        <v>6</v>
      </c>
      <c r="C3" s="3" t="s">
        <v>7</v>
      </c>
    </row>
    <row r="4" spans="1:3" x14ac:dyDescent="0.35">
      <c r="A4" s="2" t="s">
        <v>3</v>
      </c>
      <c r="B4" s="2" t="s">
        <v>8</v>
      </c>
      <c r="C4" s="3" t="s">
        <v>9</v>
      </c>
    </row>
    <row r="5" spans="1:3" x14ac:dyDescent="0.35">
      <c r="A5" s="2" t="s">
        <v>3</v>
      </c>
      <c r="B5" s="2" t="s">
        <v>10</v>
      </c>
      <c r="C5" s="3" t="s">
        <v>11</v>
      </c>
    </row>
    <row r="6" spans="1:3" x14ac:dyDescent="0.35">
      <c r="A6" s="2" t="s">
        <v>3</v>
      </c>
      <c r="B6" s="2" t="s">
        <v>12</v>
      </c>
      <c r="C6" s="3" t="s">
        <v>13</v>
      </c>
    </row>
    <row r="7" spans="1:3" x14ac:dyDescent="0.35">
      <c r="A7" s="2" t="s">
        <v>3</v>
      </c>
      <c r="B7" s="2" t="s">
        <v>14</v>
      </c>
      <c r="C7" s="3" t="s">
        <v>15</v>
      </c>
    </row>
    <row r="8" spans="1:3" x14ac:dyDescent="0.35">
      <c r="A8" s="2" t="s">
        <v>3</v>
      </c>
      <c r="B8" s="2" t="s">
        <v>16</v>
      </c>
      <c r="C8" s="3" t="s">
        <v>17</v>
      </c>
    </row>
    <row r="9" spans="1:3" x14ac:dyDescent="0.35">
      <c r="A9" s="2" t="s">
        <v>3</v>
      </c>
      <c r="B9" s="2" t="s">
        <v>18</v>
      </c>
      <c r="C9" s="3" t="s">
        <v>19</v>
      </c>
    </row>
    <row r="10" spans="1:3" x14ac:dyDescent="0.35">
      <c r="A10" s="2" t="s">
        <v>3</v>
      </c>
      <c r="B10" s="2" t="s">
        <v>20</v>
      </c>
      <c r="C10" s="3" t="s">
        <v>21</v>
      </c>
    </row>
    <row r="11" spans="1:3" x14ac:dyDescent="0.35">
      <c r="A11" s="2" t="s">
        <v>3</v>
      </c>
      <c r="B11" s="2" t="s">
        <v>22</v>
      </c>
      <c r="C11" s="3" t="s">
        <v>23</v>
      </c>
    </row>
    <row r="12" spans="1:3" x14ac:dyDescent="0.35">
      <c r="A12" s="2" t="s">
        <v>3</v>
      </c>
      <c r="B12" s="2" t="s">
        <v>24</v>
      </c>
      <c r="C12" s="3" t="s">
        <v>25</v>
      </c>
    </row>
    <row r="13" spans="1:3" x14ac:dyDescent="0.35">
      <c r="A13" s="2" t="s">
        <v>3</v>
      </c>
      <c r="B13" s="2" t="s">
        <v>26</v>
      </c>
      <c r="C13" s="3" t="s">
        <v>27</v>
      </c>
    </row>
    <row r="14" spans="1:3" x14ac:dyDescent="0.35">
      <c r="A14" s="2" t="s">
        <v>3</v>
      </c>
      <c r="B14" s="2" t="s">
        <v>28</v>
      </c>
      <c r="C14" s="3" t="s">
        <v>29</v>
      </c>
    </row>
    <row r="15" spans="1:3" x14ac:dyDescent="0.35">
      <c r="A15" s="2" t="s">
        <v>3</v>
      </c>
      <c r="B15" s="2" t="s">
        <v>30</v>
      </c>
      <c r="C15" s="3" t="s">
        <v>31</v>
      </c>
    </row>
    <row r="16" spans="1:3" x14ac:dyDescent="0.35">
      <c r="A16" s="2" t="s">
        <v>3</v>
      </c>
      <c r="B16" s="2" t="s">
        <v>32</v>
      </c>
      <c r="C16" s="3" t="s">
        <v>33</v>
      </c>
    </row>
    <row r="17" spans="1:3" x14ac:dyDescent="0.35">
      <c r="A17" s="2" t="s">
        <v>3</v>
      </c>
      <c r="B17" s="2" t="s">
        <v>34</v>
      </c>
      <c r="C17" s="3" t="s">
        <v>35</v>
      </c>
    </row>
    <row r="18" spans="1:3" x14ac:dyDescent="0.35">
      <c r="A18" s="2" t="s">
        <v>3</v>
      </c>
      <c r="B18" s="2" t="s">
        <v>36</v>
      </c>
      <c r="C18" s="3" t="s">
        <v>37</v>
      </c>
    </row>
    <row r="19" spans="1:3" x14ac:dyDescent="0.35">
      <c r="A19" s="2" t="s">
        <v>3</v>
      </c>
      <c r="B19" s="2" t="s">
        <v>38</v>
      </c>
      <c r="C19" s="3" t="s">
        <v>39</v>
      </c>
    </row>
    <row r="20" spans="1:3" x14ac:dyDescent="0.35">
      <c r="A20" s="2" t="s">
        <v>3</v>
      </c>
      <c r="B20" s="2" t="s">
        <v>40</v>
      </c>
      <c r="C20" s="3" t="s">
        <v>41</v>
      </c>
    </row>
    <row r="21" spans="1:3" x14ac:dyDescent="0.35">
      <c r="A21" s="2" t="s">
        <v>3</v>
      </c>
      <c r="B21" s="2" t="s">
        <v>42</v>
      </c>
      <c r="C21" s="3" t="s">
        <v>43</v>
      </c>
    </row>
    <row r="22" spans="1:3" x14ac:dyDescent="0.35">
      <c r="A22" s="2" t="s">
        <v>3</v>
      </c>
      <c r="B22" s="2" t="s">
        <v>44</v>
      </c>
      <c r="C22" s="3" t="s">
        <v>45</v>
      </c>
    </row>
    <row r="23" spans="1:3" x14ac:dyDescent="0.35">
      <c r="A23" s="2" t="s">
        <v>3</v>
      </c>
      <c r="B23" s="2" t="s">
        <v>46</v>
      </c>
      <c r="C23" s="3" t="s">
        <v>47</v>
      </c>
    </row>
    <row r="24" spans="1:3" x14ac:dyDescent="0.35">
      <c r="A24" s="2" t="s">
        <v>3</v>
      </c>
      <c r="B24" s="2" t="s">
        <v>48</v>
      </c>
      <c r="C24" s="3" t="s">
        <v>49</v>
      </c>
    </row>
    <row r="25" spans="1:3" x14ac:dyDescent="0.35">
      <c r="A25" s="2" t="s">
        <v>3</v>
      </c>
      <c r="B25" s="2" t="s">
        <v>50</v>
      </c>
      <c r="C25" s="3" t="s">
        <v>51</v>
      </c>
    </row>
    <row r="26" spans="1:3" x14ac:dyDescent="0.35">
      <c r="A26" s="2" t="s">
        <v>3</v>
      </c>
      <c r="B26" s="2" t="s">
        <v>52</v>
      </c>
      <c r="C26" s="3" t="s">
        <v>53</v>
      </c>
    </row>
    <row r="27" spans="1:3" x14ac:dyDescent="0.35">
      <c r="A27" s="2" t="s">
        <v>3</v>
      </c>
      <c r="B27" s="2" t="s">
        <v>54</v>
      </c>
      <c r="C27" s="3" t="s">
        <v>55</v>
      </c>
    </row>
    <row r="28" spans="1:3" x14ac:dyDescent="0.35">
      <c r="A28" s="2" t="s">
        <v>3</v>
      </c>
      <c r="B28" s="2" t="s">
        <v>56</v>
      </c>
      <c r="C28" s="3" t="s">
        <v>57</v>
      </c>
    </row>
    <row r="29" spans="1:3" x14ac:dyDescent="0.35">
      <c r="A29" s="2" t="s">
        <v>3</v>
      </c>
      <c r="B29" s="2" t="s">
        <v>58</v>
      </c>
      <c r="C29" s="3" t="s">
        <v>59</v>
      </c>
    </row>
    <row r="30" spans="1:3" x14ac:dyDescent="0.35">
      <c r="A30" s="2" t="s">
        <v>3</v>
      </c>
      <c r="B30" s="2" t="s">
        <v>60</v>
      </c>
      <c r="C30" s="3" t="s">
        <v>61</v>
      </c>
    </row>
    <row r="31" spans="1:3" x14ac:dyDescent="0.35">
      <c r="A31" s="2" t="s">
        <v>3</v>
      </c>
      <c r="B31" s="2" t="s">
        <v>62</v>
      </c>
      <c r="C31" s="3" t="s">
        <v>63</v>
      </c>
    </row>
    <row r="32" spans="1:3" x14ac:dyDescent="0.35">
      <c r="A32" s="2" t="s">
        <v>64</v>
      </c>
      <c r="B32" s="2" t="s">
        <v>65</v>
      </c>
      <c r="C32" s="2" t="s">
        <v>66</v>
      </c>
    </row>
    <row r="33" spans="1:3" x14ac:dyDescent="0.35">
      <c r="A33" s="2" t="s">
        <v>64</v>
      </c>
      <c r="B33" s="2" t="s">
        <v>67</v>
      </c>
      <c r="C33" s="2" t="s">
        <v>68</v>
      </c>
    </row>
    <row r="34" spans="1:3" x14ac:dyDescent="0.35">
      <c r="A34" s="2" t="s">
        <v>64</v>
      </c>
      <c r="B34" s="2" t="s">
        <v>69</v>
      </c>
      <c r="C34" s="2" t="s">
        <v>70</v>
      </c>
    </row>
    <row r="35" spans="1:3" x14ac:dyDescent="0.35">
      <c r="A35" s="2" t="s">
        <v>64</v>
      </c>
      <c r="B35" s="2" t="s">
        <v>71</v>
      </c>
      <c r="C35" s="2" t="s">
        <v>5</v>
      </c>
    </row>
    <row r="36" spans="1:3" x14ac:dyDescent="0.35">
      <c r="A36" s="2" t="s">
        <v>64</v>
      </c>
      <c r="B36" s="2" t="s">
        <v>72</v>
      </c>
      <c r="C36" s="2" t="s">
        <v>7</v>
      </c>
    </row>
    <row r="37" spans="1:3" x14ac:dyDescent="0.35">
      <c r="A37" s="2" t="s">
        <v>64</v>
      </c>
      <c r="B37" s="2" t="s">
        <v>73</v>
      </c>
      <c r="C37" s="2" t="s">
        <v>74</v>
      </c>
    </row>
    <row r="38" spans="1:3" x14ac:dyDescent="0.35">
      <c r="A38" s="2" t="s">
        <v>64</v>
      </c>
      <c r="B38" s="2" t="s">
        <v>75</v>
      </c>
      <c r="C38" s="2" t="s">
        <v>76</v>
      </c>
    </row>
    <row r="39" spans="1:3" x14ac:dyDescent="0.35">
      <c r="A39" s="2" t="s">
        <v>64</v>
      </c>
      <c r="B39" s="2" t="s">
        <v>77</v>
      </c>
      <c r="C39" s="2" t="s">
        <v>78</v>
      </c>
    </row>
    <row r="40" spans="1:3" x14ac:dyDescent="0.35">
      <c r="A40" s="2" t="s">
        <v>64</v>
      </c>
      <c r="B40" s="2" t="s">
        <v>79</v>
      </c>
      <c r="C40" s="2" t="s">
        <v>80</v>
      </c>
    </row>
    <row r="41" spans="1:3" x14ac:dyDescent="0.35">
      <c r="A41" s="2" t="s">
        <v>64</v>
      </c>
      <c r="B41" s="2" t="s">
        <v>81</v>
      </c>
      <c r="C41" s="2" t="s">
        <v>82</v>
      </c>
    </row>
    <row r="42" spans="1:3" x14ac:dyDescent="0.35">
      <c r="A42" s="2" t="s">
        <v>64</v>
      </c>
      <c r="B42" s="2" t="s">
        <v>83</v>
      </c>
      <c r="C42" s="2" t="s">
        <v>84</v>
      </c>
    </row>
    <row r="43" spans="1:3" x14ac:dyDescent="0.35">
      <c r="A43" s="2" t="s">
        <v>64</v>
      </c>
      <c r="B43" s="2" t="s">
        <v>85</v>
      </c>
      <c r="C43" s="2" t="s">
        <v>86</v>
      </c>
    </row>
    <row r="44" spans="1:3" x14ac:dyDescent="0.35">
      <c r="A44" s="2" t="s">
        <v>64</v>
      </c>
      <c r="B44" s="2" t="s">
        <v>87</v>
      </c>
      <c r="C44" s="2" t="s">
        <v>88</v>
      </c>
    </row>
    <row r="45" spans="1:3" x14ac:dyDescent="0.35">
      <c r="A45" s="2" t="s">
        <v>64</v>
      </c>
      <c r="B45" s="2" t="s">
        <v>89</v>
      </c>
      <c r="C45" s="2" t="s">
        <v>90</v>
      </c>
    </row>
    <row r="46" spans="1:3" x14ac:dyDescent="0.35">
      <c r="A46" s="2" t="s">
        <v>64</v>
      </c>
      <c r="B46" s="2" t="s">
        <v>91</v>
      </c>
      <c r="C46" s="2" t="s">
        <v>92</v>
      </c>
    </row>
    <row r="47" spans="1:3" x14ac:dyDescent="0.35">
      <c r="A47" s="2" t="s">
        <v>64</v>
      </c>
      <c r="B47" s="2" t="s">
        <v>93</v>
      </c>
      <c r="C47" s="2" t="s">
        <v>94</v>
      </c>
    </row>
    <row r="48" spans="1:3" x14ac:dyDescent="0.35">
      <c r="A48" s="2" t="s">
        <v>64</v>
      </c>
      <c r="B48" s="2" t="s">
        <v>95</v>
      </c>
      <c r="C48" s="2" t="s">
        <v>96</v>
      </c>
    </row>
    <row r="49" spans="1:3" x14ac:dyDescent="0.35">
      <c r="A49" s="2" t="s">
        <v>64</v>
      </c>
      <c r="B49" s="2" t="s">
        <v>97</v>
      </c>
      <c r="C49" s="2" t="s">
        <v>98</v>
      </c>
    </row>
    <row r="50" spans="1:3" x14ac:dyDescent="0.35">
      <c r="A50" s="2" t="s">
        <v>64</v>
      </c>
      <c r="B50" s="2" t="s">
        <v>99</v>
      </c>
      <c r="C50" s="2" t="s">
        <v>100</v>
      </c>
    </row>
    <row r="51" spans="1:3" x14ac:dyDescent="0.35">
      <c r="A51" s="2" t="s">
        <v>64</v>
      </c>
      <c r="B51" s="2" t="s">
        <v>101</v>
      </c>
      <c r="C51" s="2" t="s">
        <v>102</v>
      </c>
    </row>
    <row r="52" spans="1:3" x14ac:dyDescent="0.35">
      <c r="A52" s="2" t="s">
        <v>64</v>
      </c>
      <c r="B52" s="2" t="s">
        <v>103</v>
      </c>
      <c r="C52" s="2" t="s">
        <v>104</v>
      </c>
    </row>
    <row r="53" spans="1:3" x14ac:dyDescent="0.35">
      <c r="A53" s="2" t="s">
        <v>64</v>
      </c>
      <c r="B53" s="2" t="s">
        <v>105</v>
      </c>
      <c r="C53" s="2" t="s">
        <v>106</v>
      </c>
    </row>
    <row r="54" spans="1:3" x14ac:dyDescent="0.35">
      <c r="A54" s="2" t="s">
        <v>64</v>
      </c>
      <c r="B54" s="2" t="s">
        <v>107</v>
      </c>
      <c r="C54" s="2" t="s">
        <v>108</v>
      </c>
    </row>
    <row r="55" spans="1:3" x14ac:dyDescent="0.35">
      <c r="A55" s="2" t="s">
        <v>64</v>
      </c>
      <c r="B55" s="2" t="s">
        <v>109</v>
      </c>
      <c r="C55" s="2" t="s">
        <v>110</v>
      </c>
    </row>
    <row r="56" spans="1:3" x14ac:dyDescent="0.35">
      <c r="A56" s="2" t="s">
        <v>64</v>
      </c>
      <c r="B56" s="2" t="s">
        <v>111</v>
      </c>
      <c r="C56" s="2" t="s">
        <v>112</v>
      </c>
    </row>
    <row r="57" spans="1:3" x14ac:dyDescent="0.35">
      <c r="A57" s="2" t="s">
        <v>64</v>
      </c>
      <c r="B57" s="2" t="s">
        <v>113</v>
      </c>
      <c r="C57" s="2" t="s">
        <v>114</v>
      </c>
    </row>
    <row r="58" spans="1:3" x14ac:dyDescent="0.35">
      <c r="A58" s="2" t="s">
        <v>64</v>
      </c>
      <c r="B58" s="2" t="s">
        <v>115</v>
      </c>
      <c r="C58" s="2" t="s">
        <v>116</v>
      </c>
    </row>
    <row r="59" spans="1:3" x14ac:dyDescent="0.35">
      <c r="A59" s="2" t="s">
        <v>64</v>
      </c>
      <c r="B59" s="2" t="s">
        <v>117</v>
      </c>
      <c r="C59" s="2" t="s">
        <v>114</v>
      </c>
    </row>
    <row r="60" spans="1:3" x14ac:dyDescent="0.35">
      <c r="A60" s="2" t="s">
        <v>64</v>
      </c>
      <c r="B60" s="2" t="s">
        <v>118</v>
      </c>
      <c r="C60" s="2" t="s">
        <v>119</v>
      </c>
    </row>
    <row r="61" spans="1:3" x14ac:dyDescent="0.35">
      <c r="A61" s="2" t="s">
        <v>64</v>
      </c>
      <c r="B61" s="2" t="s">
        <v>120</v>
      </c>
      <c r="C61" s="2" t="s">
        <v>121</v>
      </c>
    </row>
    <row r="62" spans="1:3" x14ac:dyDescent="0.35">
      <c r="A62" s="2" t="s">
        <v>64</v>
      </c>
      <c r="B62" s="2" t="s">
        <v>122</v>
      </c>
      <c r="C62" s="2" t="s">
        <v>123</v>
      </c>
    </row>
    <row r="63" spans="1:3" x14ac:dyDescent="0.35">
      <c r="A63" s="2" t="s">
        <v>64</v>
      </c>
      <c r="B63" s="2" t="s">
        <v>124</v>
      </c>
      <c r="C63" s="2" t="s">
        <v>125</v>
      </c>
    </row>
    <row r="64" spans="1:3" x14ac:dyDescent="0.35">
      <c r="A64" s="2" t="s">
        <v>64</v>
      </c>
      <c r="B64" s="2" t="s">
        <v>126</v>
      </c>
      <c r="C64" s="6" t="s">
        <v>41</v>
      </c>
    </row>
    <row r="65" spans="1:3" x14ac:dyDescent="0.35">
      <c r="A65" s="2" t="s">
        <v>64</v>
      </c>
      <c r="B65" s="2" t="s">
        <v>127</v>
      </c>
      <c r="C65" s="2" t="s">
        <v>128</v>
      </c>
    </row>
    <row r="66" spans="1:3" x14ac:dyDescent="0.35">
      <c r="A66" s="2" t="s">
        <v>64</v>
      </c>
      <c r="B66" s="2" t="s">
        <v>129</v>
      </c>
      <c r="C66" s="2" t="s">
        <v>43</v>
      </c>
    </row>
    <row r="67" spans="1:3" x14ac:dyDescent="0.35">
      <c r="A67" s="2" t="s">
        <v>64</v>
      </c>
      <c r="B67" s="2" t="s">
        <v>130</v>
      </c>
      <c r="C67" s="2" t="s">
        <v>45</v>
      </c>
    </row>
    <row r="68" spans="1:3" x14ac:dyDescent="0.35">
      <c r="A68" s="2" t="s">
        <v>64</v>
      </c>
      <c r="B68" s="2" t="s">
        <v>131</v>
      </c>
      <c r="C68" s="2" t="s">
        <v>47</v>
      </c>
    </row>
    <row r="69" spans="1:3" x14ac:dyDescent="0.35">
      <c r="A69" s="2" t="s">
        <v>64</v>
      </c>
      <c r="B69" s="2" t="s">
        <v>132</v>
      </c>
      <c r="C69" s="2" t="s">
        <v>49</v>
      </c>
    </row>
    <row r="70" spans="1:3" x14ac:dyDescent="0.35">
      <c r="A70" s="2" t="s">
        <v>64</v>
      </c>
      <c r="B70" s="2" t="s">
        <v>133</v>
      </c>
      <c r="C70" s="2" t="s">
        <v>134</v>
      </c>
    </row>
    <row r="71" spans="1:3" x14ac:dyDescent="0.35">
      <c r="A71" s="2" t="s">
        <v>64</v>
      </c>
      <c r="B71" s="2" t="s">
        <v>135</v>
      </c>
      <c r="C71" s="2" t="s">
        <v>51</v>
      </c>
    </row>
    <row r="72" spans="1:3" x14ac:dyDescent="0.35">
      <c r="A72" s="2" t="s">
        <v>64</v>
      </c>
      <c r="B72" s="2" t="s">
        <v>136</v>
      </c>
      <c r="C72" s="2" t="s">
        <v>137</v>
      </c>
    </row>
    <row r="73" spans="1:3" x14ac:dyDescent="0.35">
      <c r="A73" s="2" t="s">
        <v>64</v>
      </c>
      <c r="B73" s="2" t="s">
        <v>138</v>
      </c>
      <c r="C73" s="2" t="s">
        <v>139</v>
      </c>
    </row>
    <row r="74" spans="1:3" x14ac:dyDescent="0.35">
      <c r="A74" s="2" t="s">
        <v>64</v>
      </c>
      <c r="B74" s="2" t="s">
        <v>140</v>
      </c>
      <c r="C74" s="2" t="s">
        <v>53</v>
      </c>
    </row>
    <row r="75" spans="1:3" x14ac:dyDescent="0.35">
      <c r="A75" s="2" t="s">
        <v>64</v>
      </c>
      <c r="B75" s="2" t="s">
        <v>141</v>
      </c>
      <c r="C75" s="2" t="s">
        <v>142</v>
      </c>
    </row>
    <row r="76" spans="1:3" x14ac:dyDescent="0.35">
      <c r="A76" s="2" t="s">
        <v>64</v>
      </c>
      <c r="B76" s="2" t="s">
        <v>143</v>
      </c>
      <c r="C76" s="2" t="s">
        <v>144</v>
      </c>
    </row>
    <row r="77" spans="1:3" x14ac:dyDescent="0.35">
      <c r="A77" s="2" t="s">
        <v>64</v>
      </c>
      <c r="B77" s="2" t="s">
        <v>145</v>
      </c>
      <c r="C77" s="2" t="s">
        <v>146</v>
      </c>
    </row>
    <row r="78" spans="1:3" x14ac:dyDescent="0.35">
      <c r="A78" s="2" t="s">
        <v>64</v>
      </c>
      <c r="B78" s="2" t="s">
        <v>147</v>
      </c>
      <c r="C78" s="2" t="s">
        <v>148</v>
      </c>
    </row>
    <row r="79" spans="1:3" x14ac:dyDescent="0.35">
      <c r="A79" s="2" t="s">
        <v>64</v>
      </c>
      <c r="B79" s="2" t="s">
        <v>149</v>
      </c>
      <c r="C79" s="2" t="s">
        <v>150</v>
      </c>
    </row>
    <row r="80" spans="1:3" x14ac:dyDescent="0.35">
      <c r="A80" s="2" t="s">
        <v>64</v>
      </c>
      <c r="B80" s="2" t="s">
        <v>151</v>
      </c>
      <c r="C80" s="2" t="s">
        <v>152</v>
      </c>
    </row>
    <row r="81" spans="1:3" x14ac:dyDescent="0.35">
      <c r="A81" s="2" t="s">
        <v>64</v>
      </c>
      <c r="B81" s="2" t="s">
        <v>153</v>
      </c>
      <c r="C81" s="2" t="s">
        <v>154</v>
      </c>
    </row>
    <row r="82" spans="1:3" x14ac:dyDescent="0.35">
      <c r="A82" s="2" t="s">
        <v>64</v>
      </c>
      <c r="B82" s="2" t="s">
        <v>155</v>
      </c>
      <c r="C82" s="2" t="s">
        <v>156</v>
      </c>
    </row>
    <row r="83" spans="1:3" x14ac:dyDescent="0.35">
      <c r="A83" s="2" t="s">
        <v>64</v>
      </c>
      <c r="B83" s="2" t="s">
        <v>157</v>
      </c>
      <c r="C83" s="2" t="s">
        <v>158</v>
      </c>
    </row>
    <row r="84" spans="1:3" x14ac:dyDescent="0.35">
      <c r="A84" s="2" t="s">
        <v>64</v>
      </c>
      <c r="B84" s="2" t="s">
        <v>159</v>
      </c>
      <c r="C84" s="2" t="s">
        <v>59</v>
      </c>
    </row>
    <row r="85" spans="1:3" x14ac:dyDescent="0.35">
      <c r="A85" s="2" t="s">
        <v>64</v>
      </c>
      <c r="B85" s="2" t="s">
        <v>160</v>
      </c>
      <c r="C85" s="2" t="s">
        <v>161</v>
      </c>
    </row>
    <row r="86" spans="1:3" x14ac:dyDescent="0.35">
      <c r="A86" s="2" t="s">
        <v>162</v>
      </c>
      <c r="B86" s="2" t="s">
        <v>71</v>
      </c>
      <c r="C86" s="8" t="s">
        <v>5</v>
      </c>
    </row>
    <row r="87" spans="1:3" x14ac:dyDescent="0.35">
      <c r="A87" s="2" t="s">
        <v>162</v>
      </c>
      <c r="B87" s="2" t="s">
        <v>65</v>
      </c>
      <c r="C87" s="8" t="s">
        <v>66</v>
      </c>
    </row>
    <row r="88" spans="1:3" x14ac:dyDescent="0.35">
      <c r="A88" s="12" t="s">
        <v>162</v>
      </c>
      <c r="B88" s="12" t="s">
        <v>163</v>
      </c>
      <c r="C88" s="13" t="s">
        <v>164</v>
      </c>
    </row>
    <row r="89" spans="1:3" x14ac:dyDescent="0.35">
      <c r="A89" s="2" t="s">
        <v>162</v>
      </c>
      <c r="B89" s="2" t="s">
        <v>165</v>
      </c>
      <c r="C89" s="8" t="s">
        <v>166</v>
      </c>
    </row>
    <row r="90" spans="1:3" x14ac:dyDescent="0.35">
      <c r="A90" s="2" t="s">
        <v>162</v>
      </c>
      <c r="B90" s="2" t="s">
        <v>65</v>
      </c>
      <c r="C90" s="8" t="s">
        <v>66</v>
      </c>
    </row>
    <row r="91" spans="1:3" x14ac:dyDescent="0.35">
      <c r="A91" s="2" t="s">
        <v>162</v>
      </c>
      <c r="B91" s="2" t="s">
        <v>71</v>
      </c>
      <c r="C91" s="8" t="s">
        <v>5</v>
      </c>
    </row>
    <row r="92" spans="1:3" x14ac:dyDescent="0.35">
      <c r="A92" s="2" t="s">
        <v>162</v>
      </c>
      <c r="B92" s="2" t="s">
        <v>165</v>
      </c>
      <c r="C92" s="8" t="s">
        <v>166</v>
      </c>
    </row>
    <row r="93" spans="1:3" x14ac:dyDescent="0.35">
      <c r="A93" s="2" t="s">
        <v>162</v>
      </c>
      <c r="B93" s="2" t="s">
        <v>67</v>
      </c>
      <c r="C93" s="8" t="s">
        <v>68</v>
      </c>
    </row>
    <row r="94" spans="1:3" x14ac:dyDescent="0.35">
      <c r="A94" s="2" t="s">
        <v>162</v>
      </c>
      <c r="B94" s="2" t="s">
        <v>167</v>
      </c>
      <c r="C94" s="8" t="s">
        <v>168</v>
      </c>
    </row>
    <row r="95" spans="1:3" x14ac:dyDescent="0.35">
      <c r="A95" s="2" t="s">
        <v>162</v>
      </c>
      <c r="B95" s="2" t="s">
        <v>169</v>
      </c>
      <c r="C95" s="8" t="s">
        <v>170</v>
      </c>
    </row>
    <row r="96" spans="1:3" x14ac:dyDescent="0.35">
      <c r="A96" s="2" t="s">
        <v>162</v>
      </c>
      <c r="B96" s="2" t="s">
        <v>171</v>
      </c>
      <c r="C96" s="8" t="s">
        <v>172</v>
      </c>
    </row>
    <row r="97" spans="1:3" x14ac:dyDescent="0.35">
      <c r="A97" s="2" t="s">
        <v>162</v>
      </c>
      <c r="B97" s="2" t="s">
        <v>173</v>
      </c>
      <c r="C97" s="8" t="s">
        <v>174</v>
      </c>
    </row>
    <row r="98" spans="1:3" x14ac:dyDescent="0.35">
      <c r="A98" s="2" t="s">
        <v>162</v>
      </c>
      <c r="B98" s="2" t="s">
        <v>175</v>
      </c>
      <c r="C98" s="8" t="s">
        <v>176</v>
      </c>
    </row>
    <row r="99" spans="1:3" x14ac:dyDescent="0.35">
      <c r="A99" s="2" t="s">
        <v>162</v>
      </c>
      <c r="B99" s="2" t="s">
        <v>177</v>
      </c>
      <c r="C99" s="8" t="s">
        <v>178</v>
      </c>
    </row>
    <row r="100" spans="1:3" x14ac:dyDescent="0.35">
      <c r="A100" s="2" t="s">
        <v>162</v>
      </c>
      <c r="B100" s="2" t="s">
        <v>179</v>
      </c>
      <c r="C100" s="8" t="s">
        <v>180</v>
      </c>
    </row>
    <row r="101" spans="1:3" x14ac:dyDescent="0.35">
      <c r="A101" s="2" t="s">
        <v>162</v>
      </c>
      <c r="B101" s="2" t="s">
        <v>181</v>
      </c>
      <c r="C101" s="8" t="s">
        <v>182</v>
      </c>
    </row>
    <row r="102" spans="1:3" x14ac:dyDescent="0.35">
      <c r="A102" s="2" t="s">
        <v>162</v>
      </c>
      <c r="B102" s="2" t="s">
        <v>183</v>
      </c>
      <c r="C102" s="8" t="s">
        <v>184</v>
      </c>
    </row>
    <row r="103" spans="1:3" x14ac:dyDescent="0.35">
      <c r="A103" s="2" t="s">
        <v>162</v>
      </c>
      <c r="B103" s="2" t="s">
        <v>185</v>
      </c>
      <c r="C103" s="8" t="s">
        <v>186</v>
      </c>
    </row>
    <row r="104" spans="1:3" x14ac:dyDescent="0.35">
      <c r="A104" s="2" t="s">
        <v>162</v>
      </c>
      <c r="B104" s="2" t="s">
        <v>187</v>
      </c>
      <c r="C104" s="8" t="s">
        <v>188</v>
      </c>
    </row>
    <row r="105" spans="1:3" x14ac:dyDescent="0.35">
      <c r="A105" s="2" t="s">
        <v>162</v>
      </c>
      <c r="B105" s="2" t="s">
        <v>189</v>
      </c>
      <c r="C105" s="8" t="s">
        <v>190</v>
      </c>
    </row>
    <row r="106" spans="1:3" x14ac:dyDescent="0.35">
      <c r="A106" s="2" t="s">
        <v>162</v>
      </c>
      <c r="B106" s="2" t="s">
        <v>191</v>
      </c>
      <c r="C106" s="8" t="s">
        <v>192</v>
      </c>
    </row>
    <row r="107" spans="1:3" x14ac:dyDescent="0.35">
      <c r="A107" s="2" t="s">
        <v>162</v>
      </c>
      <c r="B107" s="2" t="s">
        <v>193</v>
      </c>
      <c r="C107" s="8" t="s">
        <v>194</v>
      </c>
    </row>
    <row r="108" spans="1:3" x14ac:dyDescent="0.35">
      <c r="A108" s="2" t="s">
        <v>162</v>
      </c>
      <c r="B108" s="2" t="s">
        <v>195</v>
      </c>
      <c r="C108" s="8" t="s">
        <v>196</v>
      </c>
    </row>
    <row r="109" spans="1:3" x14ac:dyDescent="0.35">
      <c r="A109" s="2" t="s">
        <v>162</v>
      </c>
      <c r="B109" s="2" t="s">
        <v>197</v>
      </c>
      <c r="C109" s="8" t="s">
        <v>198</v>
      </c>
    </row>
    <row r="110" spans="1:3" x14ac:dyDescent="0.35">
      <c r="A110" s="2" t="s">
        <v>162</v>
      </c>
      <c r="B110" s="2" t="s">
        <v>199</v>
      </c>
      <c r="C110" s="8" t="s">
        <v>200</v>
      </c>
    </row>
    <row r="111" spans="1:3" x14ac:dyDescent="0.35">
      <c r="A111" s="2" t="s">
        <v>162</v>
      </c>
      <c r="B111" s="2" t="s">
        <v>201</v>
      </c>
      <c r="C111" s="8" t="s">
        <v>202</v>
      </c>
    </row>
    <row r="112" spans="1:3" x14ac:dyDescent="0.35">
      <c r="A112" s="2" t="s">
        <v>162</v>
      </c>
      <c r="B112" s="2" t="s">
        <v>203</v>
      </c>
      <c r="C112" s="8" t="s">
        <v>204</v>
      </c>
    </row>
    <row r="113" spans="1:3" x14ac:dyDescent="0.35">
      <c r="A113" s="2" t="s">
        <v>162</v>
      </c>
      <c r="B113" s="2" t="s">
        <v>205</v>
      </c>
      <c r="C113" s="8" t="s">
        <v>206</v>
      </c>
    </row>
    <row r="114" spans="1:3" x14ac:dyDescent="0.35">
      <c r="A114" s="2" t="s">
        <v>162</v>
      </c>
      <c r="B114" s="2" t="s">
        <v>207</v>
      </c>
      <c r="C114" s="8" t="s">
        <v>208</v>
      </c>
    </row>
    <row r="115" spans="1:3" x14ac:dyDescent="0.35">
      <c r="A115" s="2" t="s">
        <v>162</v>
      </c>
      <c r="B115" s="2" t="s">
        <v>209</v>
      </c>
      <c r="C115" s="8" t="s">
        <v>210</v>
      </c>
    </row>
    <row r="116" spans="1:3" x14ac:dyDescent="0.35">
      <c r="A116" s="2" t="s">
        <v>162</v>
      </c>
      <c r="B116" s="2" t="s">
        <v>211</v>
      </c>
      <c r="C116" s="8" t="s">
        <v>212</v>
      </c>
    </row>
    <row r="117" spans="1:3" x14ac:dyDescent="0.35">
      <c r="A117" s="2" t="s">
        <v>162</v>
      </c>
      <c r="B117" s="2" t="s">
        <v>213</v>
      </c>
      <c r="C117" s="8" t="s">
        <v>214</v>
      </c>
    </row>
    <row r="118" spans="1:3" x14ac:dyDescent="0.35">
      <c r="A118" s="2" t="s">
        <v>162</v>
      </c>
      <c r="B118" s="2" t="s">
        <v>215</v>
      </c>
      <c r="C118" s="8" t="s">
        <v>216</v>
      </c>
    </row>
    <row r="119" spans="1:3" x14ac:dyDescent="0.35">
      <c r="A119" s="2" t="s">
        <v>162</v>
      </c>
      <c r="B119" s="2" t="s">
        <v>217</v>
      </c>
      <c r="C119" s="8" t="s">
        <v>218</v>
      </c>
    </row>
    <row r="120" spans="1:3" x14ac:dyDescent="0.35">
      <c r="A120" s="2" t="s">
        <v>162</v>
      </c>
      <c r="B120" s="2" t="s">
        <v>219</v>
      </c>
      <c r="C120" s="8" t="s">
        <v>220</v>
      </c>
    </row>
    <row r="121" spans="1:3" x14ac:dyDescent="0.35">
      <c r="A121" s="2" t="s">
        <v>162</v>
      </c>
      <c r="B121" s="2" t="s">
        <v>221</v>
      </c>
      <c r="C121" s="8" t="s">
        <v>222</v>
      </c>
    </row>
    <row r="122" spans="1:3" x14ac:dyDescent="0.35">
      <c r="A122" s="2" t="s">
        <v>162</v>
      </c>
      <c r="B122" s="2" t="s">
        <v>223</v>
      </c>
      <c r="C122" s="8" t="s">
        <v>224</v>
      </c>
    </row>
    <row r="123" spans="1:3" x14ac:dyDescent="0.35">
      <c r="A123" s="2" t="s">
        <v>162</v>
      </c>
      <c r="B123" s="2" t="s">
        <v>225</v>
      </c>
      <c r="C123" s="8" t="s">
        <v>226</v>
      </c>
    </row>
    <row r="124" spans="1:3" x14ac:dyDescent="0.35">
      <c r="A124" s="2" t="s">
        <v>162</v>
      </c>
      <c r="B124" s="2" t="s">
        <v>227</v>
      </c>
      <c r="C124" s="8" t="s">
        <v>228</v>
      </c>
    </row>
    <row r="125" spans="1:3" x14ac:dyDescent="0.35">
      <c r="A125" s="2" t="s">
        <v>162</v>
      </c>
      <c r="B125" s="2" t="s">
        <v>149</v>
      </c>
      <c r="C125" s="8" t="s">
        <v>150</v>
      </c>
    </row>
    <row r="126" spans="1:3" x14ac:dyDescent="0.35">
      <c r="A126" s="2" t="s">
        <v>162</v>
      </c>
      <c r="B126" s="2" t="s">
        <v>229</v>
      </c>
      <c r="C126" s="8" t="s">
        <v>230</v>
      </c>
    </row>
    <row r="127" spans="1:3" x14ac:dyDescent="0.35">
      <c r="A127" s="2" t="s">
        <v>162</v>
      </c>
      <c r="B127" s="2" t="s">
        <v>231</v>
      </c>
      <c r="C127" s="8" t="s">
        <v>232</v>
      </c>
    </row>
    <row r="128" spans="1:3" x14ac:dyDescent="0.35">
      <c r="A128" s="2" t="s">
        <v>162</v>
      </c>
      <c r="B128" s="2" t="s">
        <v>233</v>
      </c>
      <c r="C128" s="8" t="s">
        <v>234</v>
      </c>
    </row>
    <row r="129" spans="1:3" x14ac:dyDescent="0.35">
      <c r="A129" s="2" t="s">
        <v>162</v>
      </c>
      <c r="B129" s="2" t="s">
        <v>235</v>
      </c>
      <c r="C129" s="8" t="s">
        <v>236</v>
      </c>
    </row>
    <row r="130" spans="1:3" x14ac:dyDescent="0.35">
      <c r="A130" s="2" t="s">
        <v>162</v>
      </c>
      <c r="B130" s="2" t="s">
        <v>237</v>
      </c>
      <c r="C130" s="8" t="s">
        <v>238</v>
      </c>
    </row>
    <row r="131" spans="1:3" x14ac:dyDescent="0.35">
      <c r="A131" s="2" t="s">
        <v>162</v>
      </c>
      <c r="B131" s="2" t="s">
        <v>143</v>
      </c>
      <c r="C131" s="8" t="s">
        <v>144</v>
      </c>
    </row>
    <row r="132" spans="1:3" x14ac:dyDescent="0.35">
      <c r="A132" s="2" t="s">
        <v>162</v>
      </c>
      <c r="B132" s="2" t="s">
        <v>239</v>
      </c>
      <c r="C132" s="8" t="s">
        <v>240</v>
      </c>
    </row>
    <row r="133" spans="1:3" x14ac:dyDescent="0.35">
      <c r="A133" s="2" t="s">
        <v>162</v>
      </c>
      <c r="B133" s="2" t="s">
        <v>241</v>
      </c>
      <c r="C133" s="8" t="s">
        <v>242</v>
      </c>
    </row>
    <row r="134" spans="1:3" x14ac:dyDescent="0.35">
      <c r="A134" s="2" t="s">
        <v>162</v>
      </c>
      <c r="B134" s="2" t="s">
        <v>243</v>
      </c>
      <c r="C134" s="8" t="s">
        <v>244</v>
      </c>
    </row>
    <row r="135" spans="1:3" x14ac:dyDescent="0.35">
      <c r="A135" s="2" t="s">
        <v>162</v>
      </c>
      <c r="B135" s="2" t="s">
        <v>245</v>
      </c>
      <c r="C135" s="8" t="s">
        <v>246</v>
      </c>
    </row>
    <row r="136" spans="1:3" x14ac:dyDescent="0.35">
      <c r="A136" s="2" t="s">
        <v>162</v>
      </c>
      <c r="B136" s="2" t="s">
        <v>247</v>
      </c>
      <c r="C136" s="8" t="s">
        <v>248</v>
      </c>
    </row>
    <row r="137" spans="1:3" x14ac:dyDescent="0.35">
      <c r="A137" s="2" t="s">
        <v>162</v>
      </c>
      <c r="B137" s="2" t="s">
        <v>249</v>
      </c>
      <c r="C137" s="8" t="s">
        <v>250</v>
      </c>
    </row>
    <row r="138" spans="1:3" x14ac:dyDescent="0.35">
      <c r="A138" s="2" t="s">
        <v>162</v>
      </c>
      <c r="B138" s="2" t="s">
        <v>251</v>
      </c>
      <c r="C138" s="8" t="s">
        <v>252</v>
      </c>
    </row>
    <row r="139" spans="1:3" x14ac:dyDescent="0.35">
      <c r="A139" s="2" t="s">
        <v>162</v>
      </c>
      <c r="B139" s="2" t="s">
        <v>253</v>
      </c>
      <c r="C139" s="8" t="s">
        <v>254</v>
      </c>
    </row>
    <row r="140" spans="1:3" x14ac:dyDescent="0.35">
      <c r="A140" s="2" t="s">
        <v>162</v>
      </c>
      <c r="B140" s="2" t="s">
        <v>255</v>
      </c>
      <c r="C140" s="8" t="s">
        <v>256</v>
      </c>
    </row>
    <row r="141" spans="1:3" x14ac:dyDescent="0.35">
      <c r="A141" s="2" t="s">
        <v>162</v>
      </c>
      <c r="B141" s="2" t="s">
        <v>257</v>
      </c>
      <c r="C141" s="8" t="s">
        <v>258</v>
      </c>
    </row>
    <row r="142" spans="1:3" x14ac:dyDescent="0.35">
      <c r="A142" s="2" t="s">
        <v>162</v>
      </c>
      <c r="B142" s="2" t="s">
        <v>259</v>
      </c>
      <c r="C142" s="8" t="s">
        <v>260</v>
      </c>
    </row>
    <row r="143" spans="1:3" x14ac:dyDescent="0.35">
      <c r="A143" s="2" t="s">
        <v>162</v>
      </c>
      <c r="B143" s="2" t="s">
        <v>261</v>
      </c>
      <c r="C143" s="8" t="s">
        <v>262</v>
      </c>
    </row>
    <row r="144" spans="1:3" x14ac:dyDescent="0.35">
      <c r="A144" s="2" t="s">
        <v>162</v>
      </c>
      <c r="B144" s="2" t="s">
        <v>263</v>
      </c>
      <c r="C144" s="8" t="s">
        <v>264</v>
      </c>
    </row>
    <row r="145" spans="1:3" x14ac:dyDescent="0.35">
      <c r="A145" s="2" t="s">
        <v>162</v>
      </c>
      <c r="B145" s="2" t="s">
        <v>265</v>
      </c>
      <c r="C145" s="8" t="s">
        <v>266</v>
      </c>
    </row>
    <row r="146" spans="1:3" x14ac:dyDescent="0.35">
      <c r="A146" s="2" t="s">
        <v>162</v>
      </c>
      <c r="B146" s="2" t="s">
        <v>267</v>
      </c>
      <c r="C146" s="8" t="s">
        <v>268</v>
      </c>
    </row>
    <row r="147" spans="1:3" x14ac:dyDescent="0.35">
      <c r="A147" s="2" t="s">
        <v>162</v>
      </c>
      <c r="B147" s="2" t="s">
        <v>269</v>
      </c>
      <c r="C147" s="8" t="s">
        <v>270</v>
      </c>
    </row>
    <row r="148" spans="1:3" x14ac:dyDescent="0.35">
      <c r="A148" s="2" t="s">
        <v>162</v>
      </c>
      <c r="B148" s="2" t="s">
        <v>147</v>
      </c>
      <c r="C148" s="8" t="s">
        <v>148</v>
      </c>
    </row>
    <row r="149" spans="1:3" x14ac:dyDescent="0.35">
      <c r="A149" s="2" t="s">
        <v>162</v>
      </c>
      <c r="B149" s="2" t="s">
        <v>271</v>
      </c>
      <c r="C149" s="8" t="s">
        <v>272</v>
      </c>
    </row>
    <row r="150" spans="1:3" x14ac:dyDescent="0.35">
      <c r="A150" s="2" t="s">
        <v>162</v>
      </c>
      <c r="B150" s="2" t="s">
        <v>145</v>
      </c>
      <c r="C150" s="8" t="s">
        <v>146</v>
      </c>
    </row>
    <row r="151" spans="1:3" x14ac:dyDescent="0.35">
      <c r="A151" s="2" t="s">
        <v>162</v>
      </c>
      <c r="B151" s="2" t="s">
        <v>273</v>
      </c>
      <c r="C151" s="8" t="s">
        <v>274</v>
      </c>
    </row>
    <row r="152" spans="1:3" x14ac:dyDescent="0.35">
      <c r="A152" s="2" t="s">
        <v>162</v>
      </c>
      <c r="B152" s="2" t="s">
        <v>275</v>
      </c>
      <c r="C152" s="8" t="s">
        <v>276</v>
      </c>
    </row>
    <row r="153" spans="1:3" x14ac:dyDescent="0.35">
      <c r="A153" s="2" t="s">
        <v>162</v>
      </c>
      <c r="B153" s="2" t="s">
        <v>277</v>
      </c>
      <c r="C153" s="3" t="s">
        <v>278</v>
      </c>
    </row>
    <row r="154" spans="1:3" x14ac:dyDescent="0.35">
      <c r="A154" s="2" t="s">
        <v>162</v>
      </c>
      <c r="B154" s="2" t="s">
        <v>279</v>
      </c>
      <c r="C154" s="3" t="s">
        <v>280</v>
      </c>
    </row>
    <row r="155" spans="1:3" x14ac:dyDescent="0.35">
      <c r="A155" s="2" t="s">
        <v>162</v>
      </c>
      <c r="B155" s="2" t="s">
        <v>281</v>
      </c>
      <c r="C155" s="3" t="s">
        <v>282</v>
      </c>
    </row>
    <row r="156" spans="1:3" x14ac:dyDescent="0.35">
      <c r="A156" s="2" t="s">
        <v>162</v>
      </c>
      <c r="B156" s="2" t="s">
        <v>283</v>
      </c>
      <c r="C156" s="3" t="s">
        <v>234</v>
      </c>
    </row>
    <row r="157" spans="1:3" x14ac:dyDescent="0.35">
      <c r="A157" s="2" t="s">
        <v>162</v>
      </c>
      <c r="B157" s="2" t="s">
        <v>284</v>
      </c>
      <c r="C157" s="3" t="s">
        <v>285</v>
      </c>
    </row>
    <row r="158" spans="1:3" x14ac:dyDescent="0.35">
      <c r="A158" s="2" t="s">
        <v>162</v>
      </c>
      <c r="B158" s="2" t="s">
        <v>286</v>
      </c>
      <c r="C158" s="3" t="s">
        <v>287</v>
      </c>
    </row>
    <row r="159" spans="1:3" x14ac:dyDescent="0.35">
      <c r="A159" s="2" t="s">
        <v>162</v>
      </c>
      <c r="B159" s="2" t="s">
        <v>72</v>
      </c>
      <c r="C159" s="3" t="s">
        <v>7</v>
      </c>
    </row>
    <row r="160" spans="1:3" x14ac:dyDescent="0.35">
      <c r="A160" s="2" t="s">
        <v>162</v>
      </c>
      <c r="B160" s="2" t="s">
        <v>73</v>
      </c>
      <c r="C160" s="3" t="s">
        <v>74</v>
      </c>
    </row>
    <row r="161" spans="1:3" x14ac:dyDescent="0.35">
      <c r="A161" s="2" t="s">
        <v>162</v>
      </c>
      <c r="B161" s="2" t="s">
        <v>288</v>
      </c>
      <c r="C161" s="3" t="s">
        <v>289</v>
      </c>
    </row>
    <row r="162" spans="1:3" x14ac:dyDescent="0.35">
      <c r="A162" s="2" t="s">
        <v>162</v>
      </c>
      <c r="B162" s="2" t="s">
        <v>290</v>
      </c>
      <c r="C162" s="3" t="s">
        <v>291</v>
      </c>
    </row>
    <row r="163" spans="1:3" x14ac:dyDescent="0.35">
      <c r="A163" s="2" t="s">
        <v>162</v>
      </c>
      <c r="B163" s="2" t="s">
        <v>292</v>
      </c>
      <c r="C163" s="3" t="s">
        <v>293</v>
      </c>
    </row>
    <row r="164" spans="1:3" x14ac:dyDescent="0.35">
      <c r="A164" s="2" t="s">
        <v>162</v>
      </c>
      <c r="B164" s="2" t="s">
        <v>294</v>
      </c>
      <c r="C164" s="3" t="s">
        <v>295</v>
      </c>
    </row>
    <row r="165" spans="1:3" x14ac:dyDescent="0.35">
      <c r="A165" s="2" t="s">
        <v>162</v>
      </c>
      <c r="B165" s="2" t="s">
        <v>296</v>
      </c>
      <c r="C165" s="3" t="s">
        <v>297</v>
      </c>
    </row>
    <row r="166" spans="1:3" x14ac:dyDescent="0.35">
      <c r="A166" s="2" t="s">
        <v>162</v>
      </c>
      <c r="B166" s="2" t="s">
        <v>298</v>
      </c>
      <c r="C166" s="3" t="s">
        <v>299</v>
      </c>
    </row>
    <row r="167" spans="1:3" x14ac:dyDescent="0.35">
      <c r="A167" s="2" t="s">
        <v>162</v>
      </c>
      <c r="B167" s="2" t="s">
        <v>75</v>
      </c>
      <c r="C167" s="3" t="s">
        <v>76</v>
      </c>
    </row>
    <row r="168" spans="1:3" x14ac:dyDescent="0.35">
      <c r="A168" s="2" t="s">
        <v>162</v>
      </c>
      <c r="B168" s="2" t="s">
        <v>300</v>
      </c>
      <c r="C168" s="3" t="s">
        <v>301</v>
      </c>
    </row>
    <row r="169" spans="1:3" x14ac:dyDescent="0.35">
      <c r="A169" s="2" t="s">
        <v>162</v>
      </c>
      <c r="B169" s="2" t="s">
        <v>302</v>
      </c>
      <c r="C169" s="3" t="s">
        <v>303</v>
      </c>
    </row>
    <row r="170" spans="1:3" x14ac:dyDescent="0.35">
      <c r="A170" s="2" t="s">
        <v>162</v>
      </c>
      <c r="B170" s="2" t="s">
        <v>72</v>
      </c>
      <c r="C170" s="3" t="s">
        <v>7</v>
      </c>
    </row>
    <row r="171" spans="1:3" x14ac:dyDescent="0.35">
      <c r="A171" s="2" t="s">
        <v>162</v>
      </c>
      <c r="B171" s="2" t="s">
        <v>72</v>
      </c>
      <c r="C171" s="3" t="s">
        <v>7</v>
      </c>
    </row>
    <row r="172" spans="1:3" x14ac:dyDescent="0.35">
      <c r="A172" s="2" t="s">
        <v>162</v>
      </c>
      <c r="B172" s="2" t="s">
        <v>73</v>
      </c>
      <c r="C172" s="3" t="s">
        <v>74</v>
      </c>
    </row>
    <row r="173" spans="1:3" x14ac:dyDescent="0.35">
      <c r="A173" s="2" t="s">
        <v>162</v>
      </c>
      <c r="B173" s="2" t="s">
        <v>288</v>
      </c>
      <c r="C173" s="3" t="s">
        <v>289</v>
      </c>
    </row>
    <row r="174" spans="1:3" x14ac:dyDescent="0.35">
      <c r="A174" s="2" t="s">
        <v>162</v>
      </c>
      <c r="B174" s="2" t="s">
        <v>294</v>
      </c>
      <c r="C174" s="3" t="s">
        <v>295</v>
      </c>
    </row>
    <row r="175" spans="1:3" x14ac:dyDescent="0.35">
      <c r="A175" s="2" t="s">
        <v>162</v>
      </c>
      <c r="B175" s="2" t="s">
        <v>298</v>
      </c>
      <c r="C175" s="3" t="s">
        <v>299</v>
      </c>
    </row>
    <row r="176" spans="1:3" x14ac:dyDescent="0.35">
      <c r="A176" s="2" t="s">
        <v>162</v>
      </c>
      <c r="B176" s="2" t="s">
        <v>290</v>
      </c>
      <c r="C176" s="3" t="s">
        <v>291</v>
      </c>
    </row>
    <row r="177" spans="1:3" x14ac:dyDescent="0.35">
      <c r="A177" s="2" t="s">
        <v>162</v>
      </c>
      <c r="B177" s="2" t="s">
        <v>296</v>
      </c>
      <c r="C177" s="3" t="s">
        <v>297</v>
      </c>
    </row>
    <row r="178" spans="1:3" x14ac:dyDescent="0.35">
      <c r="A178" s="2" t="s">
        <v>162</v>
      </c>
      <c r="B178" s="2" t="s">
        <v>304</v>
      </c>
      <c r="C178" s="3" t="s">
        <v>305</v>
      </c>
    </row>
    <row r="179" spans="1:3" x14ac:dyDescent="0.35">
      <c r="A179" s="2" t="s">
        <v>162</v>
      </c>
      <c r="B179" s="2" t="s">
        <v>87</v>
      </c>
      <c r="C179" s="3" t="s">
        <v>88</v>
      </c>
    </row>
    <row r="180" spans="1:3" x14ac:dyDescent="0.35">
      <c r="A180" s="2" t="s">
        <v>162</v>
      </c>
      <c r="B180" s="2" t="s">
        <v>304</v>
      </c>
      <c r="C180" s="3" t="s">
        <v>305</v>
      </c>
    </row>
    <row r="181" spans="1:3" x14ac:dyDescent="0.35">
      <c r="A181" s="2" t="s">
        <v>162</v>
      </c>
      <c r="B181" s="2" t="s">
        <v>101</v>
      </c>
      <c r="C181" s="3" t="s">
        <v>102</v>
      </c>
    </row>
    <row r="182" spans="1:3" x14ac:dyDescent="0.35">
      <c r="A182" s="2" t="s">
        <v>162</v>
      </c>
      <c r="B182" s="2" t="s">
        <v>93</v>
      </c>
      <c r="C182" s="3" t="s">
        <v>94</v>
      </c>
    </row>
    <row r="183" spans="1:3" x14ac:dyDescent="0.35">
      <c r="A183" s="2" t="s">
        <v>162</v>
      </c>
      <c r="B183" s="2" t="s">
        <v>89</v>
      </c>
      <c r="C183" s="3" t="s">
        <v>90</v>
      </c>
    </row>
    <row r="184" spans="1:3" x14ac:dyDescent="0.35">
      <c r="A184" s="2" t="s">
        <v>162</v>
      </c>
      <c r="B184" s="2" t="s">
        <v>91</v>
      </c>
      <c r="C184" s="3" t="s">
        <v>92</v>
      </c>
    </row>
    <row r="185" spans="1:3" x14ac:dyDescent="0.35">
      <c r="A185" s="2" t="s">
        <v>162</v>
      </c>
      <c r="B185" s="2" t="s">
        <v>95</v>
      </c>
      <c r="C185" s="3" t="s">
        <v>96</v>
      </c>
    </row>
    <row r="186" spans="1:3" x14ac:dyDescent="0.35">
      <c r="A186" s="2" t="s">
        <v>162</v>
      </c>
      <c r="B186" s="2" t="s">
        <v>103</v>
      </c>
      <c r="C186" s="3" t="s">
        <v>104</v>
      </c>
    </row>
    <row r="187" spans="1:3" x14ac:dyDescent="0.35">
      <c r="A187" s="2" t="s">
        <v>162</v>
      </c>
      <c r="B187" s="2" t="s">
        <v>87</v>
      </c>
      <c r="C187" s="3" t="s">
        <v>88</v>
      </c>
    </row>
    <row r="188" spans="1:3" x14ac:dyDescent="0.35">
      <c r="A188" s="2" t="s">
        <v>162</v>
      </c>
      <c r="B188" s="2" t="s">
        <v>101</v>
      </c>
      <c r="C188" s="3" t="s">
        <v>102</v>
      </c>
    </row>
    <row r="189" spans="1:3" x14ac:dyDescent="0.35">
      <c r="A189" s="2" t="s">
        <v>162</v>
      </c>
      <c r="B189" s="2" t="s">
        <v>89</v>
      </c>
      <c r="C189" s="3" t="s">
        <v>90</v>
      </c>
    </row>
    <row r="190" spans="1:3" x14ac:dyDescent="0.35">
      <c r="A190" s="2" t="s">
        <v>162</v>
      </c>
      <c r="B190" s="2" t="s">
        <v>93</v>
      </c>
      <c r="C190" s="3" t="s">
        <v>94</v>
      </c>
    </row>
    <row r="191" spans="1:3" x14ac:dyDescent="0.35">
      <c r="A191" s="2" t="s">
        <v>162</v>
      </c>
      <c r="B191" s="2" t="s">
        <v>91</v>
      </c>
      <c r="C191" s="3" t="s">
        <v>92</v>
      </c>
    </row>
    <row r="192" spans="1:3" x14ac:dyDescent="0.35">
      <c r="A192" s="2" t="s">
        <v>162</v>
      </c>
      <c r="B192" s="2" t="s">
        <v>95</v>
      </c>
      <c r="C192" s="3" t="s">
        <v>96</v>
      </c>
    </row>
    <row r="193" spans="1:3" x14ac:dyDescent="0.35">
      <c r="A193" s="2" t="s">
        <v>162</v>
      </c>
      <c r="B193" s="2" t="s">
        <v>103</v>
      </c>
      <c r="C193" s="3" t="s">
        <v>104</v>
      </c>
    </row>
    <row r="194" spans="1:3" x14ac:dyDescent="0.35">
      <c r="A194" s="2" t="s">
        <v>162</v>
      </c>
      <c r="B194" s="2" t="s">
        <v>99</v>
      </c>
      <c r="C194" s="3" t="s">
        <v>100</v>
      </c>
    </row>
    <row r="195" spans="1:3" x14ac:dyDescent="0.35">
      <c r="A195" s="2" t="s">
        <v>162</v>
      </c>
      <c r="B195" s="2" t="s">
        <v>97</v>
      </c>
      <c r="C195" s="3" t="s">
        <v>98</v>
      </c>
    </row>
    <row r="196" spans="1:3" x14ac:dyDescent="0.35">
      <c r="A196" s="2" t="s">
        <v>162</v>
      </c>
      <c r="B196" s="2" t="s">
        <v>105</v>
      </c>
      <c r="C196" s="3" t="s">
        <v>106</v>
      </c>
    </row>
    <row r="197" spans="1:3" x14ac:dyDescent="0.35">
      <c r="A197" s="2" t="s">
        <v>162</v>
      </c>
      <c r="B197" s="2" t="s">
        <v>107</v>
      </c>
      <c r="C197" s="3" t="s">
        <v>108</v>
      </c>
    </row>
    <row r="198" spans="1:3" x14ac:dyDescent="0.35">
      <c r="A198" s="2" t="s">
        <v>162</v>
      </c>
      <c r="B198" s="2" t="s">
        <v>109</v>
      </c>
      <c r="C198" s="3" t="s">
        <v>110</v>
      </c>
    </row>
    <row r="199" spans="1:3" x14ac:dyDescent="0.35">
      <c r="A199" s="2" t="s">
        <v>162</v>
      </c>
      <c r="B199" s="2" t="s">
        <v>113</v>
      </c>
      <c r="C199" s="3" t="s">
        <v>114</v>
      </c>
    </row>
    <row r="200" spans="1:3" x14ac:dyDescent="0.35">
      <c r="A200" s="2" t="s">
        <v>162</v>
      </c>
      <c r="B200" s="2" t="s">
        <v>113</v>
      </c>
      <c r="C200" s="3" t="s">
        <v>114</v>
      </c>
    </row>
    <row r="201" spans="1:3" x14ac:dyDescent="0.35">
      <c r="A201" s="2" t="s">
        <v>162</v>
      </c>
      <c r="B201" s="2" t="s">
        <v>115</v>
      </c>
      <c r="C201" s="3" t="s">
        <v>116</v>
      </c>
    </row>
    <row r="202" spans="1:3" x14ac:dyDescent="0.35">
      <c r="A202" s="2" t="s">
        <v>162</v>
      </c>
      <c r="B202" s="2" t="s">
        <v>306</v>
      </c>
      <c r="C202" s="3" t="s">
        <v>307</v>
      </c>
    </row>
    <row r="203" spans="1:3" x14ac:dyDescent="0.35">
      <c r="A203" s="2" t="s">
        <v>162</v>
      </c>
      <c r="B203" s="2" t="s">
        <v>126</v>
      </c>
      <c r="C203" s="3" t="s">
        <v>41</v>
      </c>
    </row>
    <row r="204" spans="1:3" x14ac:dyDescent="0.35">
      <c r="A204" s="2" t="s">
        <v>162</v>
      </c>
      <c r="B204" s="2" t="s">
        <v>308</v>
      </c>
      <c r="C204" s="3" t="s">
        <v>39</v>
      </c>
    </row>
    <row r="205" spans="1:3" x14ac:dyDescent="0.35">
      <c r="A205" s="2" t="s">
        <v>162</v>
      </c>
      <c r="B205" s="2" t="s">
        <v>308</v>
      </c>
      <c r="C205" s="3" t="s">
        <v>39</v>
      </c>
    </row>
    <row r="206" spans="1:3" x14ac:dyDescent="0.35">
      <c r="A206" s="2" t="s">
        <v>162</v>
      </c>
      <c r="B206" s="2" t="s">
        <v>126</v>
      </c>
      <c r="C206" s="3" t="s">
        <v>41</v>
      </c>
    </row>
    <row r="207" spans="1:3" x14ac:dyDescent="0.35">
      <c r="A207" s="2" t="s">
        <v>162</v>
      </c>
      <c r="B207" s="2" t="s">
        <v>129</v>
      </c>
      <c r="C207" s="3" t="s">
        <v>43</v>
      </c>
    </row>
    <row r="208" spans="1:3" x14ac:dyDescent="0.35">
      <c r="A208" s="2" t="s">
        <v>162</v>
      </c>
      <c r="B208" s="2" t="s">
        <v>130</v>
      </c>
      <c r="C208" s="3" t="s">
        <v>45</v>
      </c>
    </row>
    <row r="209" spans="1:3" x14ac:dyDescent="0.35">
      <c r="A209" s="2" t="s">
        <v>162</v>
      </c>
      <c r="B209" s="2" t="s">
        <v>129</v>
      </c>
      <c r="C209" s="3" t="s">
        <v>43</v>
      </c>
    </row>
    <row r="210" spans="1:3" x14ac:dyDescent="0.35">
      <c r="A210" s="2" t="s">
        <v>162</v>
      </c>
      <c r="B210" s="2" t="s">
        <v>130</v>
      </c>
      <c r="C210" s="3" t="s">
        <v>45</v>
      </c>
    </row>
    <row r="211" spans="1:3" x14ac:dyDescent="0.35">
      <c r="A211" s="2" t="s">
        <v>162</v>
      </c>
      <c r="B211" s="2" t="s">
        <v>138</v>
      </c>
      <c r="C211" s="3" t="s">
        <v>139</v>
      </c>
    </row>
    <row r="212" spans="1:3" x14ac:dyDescent="0.35">
      <c r="A212" s="2" t="s">
        <v>162</v>
      </c>
      <c r="B212" s="2" t="s">
        <v>309</v>
      </c>
      <c r="C212" s="3" t="s">
        <v>310</v>
      </c>
    </row>
    <row r="213" spans="1:3" x14ac:dyDescent="0.35">
      <c r="A213" s="2" t="s">
        <v>162</v>
      </c>
      <c r="B213" s="2" t="s">
        <v>131</v>
      </c>
      <c r="C213" s="3" t="s">
        <v>47</v>
      </c>
    </row>
    <row r="214" spans="1:3" x14ac:dyDescent="0.35">
      <c r="A214" s="2" t="s">
        <v>162</v>
      </c>
      <c r="B214" s="2" t="s">
        <v>131</v>
      </c>
      <c r="C214" s="3" t="s">
        <v>47</v>
      </c>
    </row>
    <row r="215" spans="1:3" x14ac:dyDescent="0.35">
      <c r="A215" s="2" t="s">
        <v>162</v>
      </c>
      <c r="B215" s="2" t="s">
        <v>138</v>
      </c>
      <c r="C215" s="3" t="s">
        <v>139</v>
      </c>
    </row>
    <row r="216" spans="1:3" x14ac:dyDescent="0.35">
      <c r="A216" s="2" t="s">
        <v>162</v>
      </c>
      <c r="B216" s="2" t="s">
        <v>140</v>
      </c>
      <c r="C216" s="3" t="s">
        <v>53</v>
      </c>
    </row>
    <row r="217" spans="1:3" x14ac:dyDescent="0.35">
      <c r="A217" s="2" t="s">
        <v>162</v>
      </c>
      <c r="B217" s="2" t="s">
        <v>140</v>
      </c>
      <c r="C217" s="3" t="s">
        <v>53</v>
      </c>
    </row>
    <row r="218" spans="1:3" x14ac:dyDescent="0.35">
      <c r="A218" s="2" t="s">
        <v>162</v>
      </c>
      <c r="B218" s="2" t="s">
        <v>311</v>
      </c>
      <c r="C218" s="3" t="s">
        <v>312</v>
      </c>
    </row>
    <row r="219" spans="1:3" x14ac:dyDescent="0.35">
      <c r="A219" s="2" t="s">
        <v>162</v>
      </c>
      <c r="B219" s="2" t="s">
        <v>313</v>
      </c>
      <c r="C219" s="3" t="s">
        <v>314</v>
      </c>
    </row>
    <row r="220" spans="1:3" x14ac:dyDescent="0.35">
      <c r="A220" s="2" t="s">
        <v>162</v>
      </c>
      <c r="B220" s="2" t="s">
        <v>315</v>
      </c>
      <c r="C220" s="3" t="s">
        <v>316</v>
      </c>
    </row>
    <row r="221" spans="1:3" x14ac:dyDescent="0.35">
      <c r="A221" s="2" t="s">
        <v>162</v>
      </c>
      <c r="B221" s="2" t="s">
        <v>317</v>
      </c>
      <c r="C221" s="3" t="s">
        <v>318</v>
      </c>
    </row>
    <row r="222" spans="1:3" x14ac:dyDescent="0.35">
      <c r="A222" s="2" t="s">
        <v>162</v>
      </c>
      <c r="B222" s="2" t="s">
        <v>319</v>
      </c>
      <c r="C222" s="3" t="s">
        <v>320</v>
      </c>
    </row>
    <row r="223" spans="1:3" x14ac:dyDescent="0.35">
      <c r="A223" s="2" t="s">
        <v>162</v>
      </c>
      <c r="B223" s="2" t="s">
        <v>321</v>
      </c>
      <c r="C223" s="3" t="s">
        <v>322</v>
      </c>
    </row>
    <row r="224" spans="1:3" x14ac:dyDescent="0.35">
      <c r="A224" s="2" t="s">
        <v>162</v>
      </c>
      <c r="B224" s="2" t="s">
        <v>323</v>
      </c>
      <c r="C224" s="3" t="s">
        <v>324</v>
      </c>
    </row>
    <row r="225" spans="1:3" x14ac:dyDescent="0.35">
      <c r="A225" s="2" t="s">
        <v>162</v>
      </c>
      <c r="B225" s="2" t="s">
        <v>325</v>
      </c>
      <c r="C225" s="3" t="s">
        <v>326</v>
      </c>
    </row>
    <row r="226" spans="1:3" x14ac:dyDescent="0.35">
      <c r="A226" s="2" t="s">
        <v>162</v>
      </c>
      <c r="B226" s="2" t="s">
        <v>327</v>
      </c>
      <c r="C226" s="3" t="s">
        <v>328</v>
      </c>
    </row>
    <row r="227" spans="1:3" x14ac:dyDescent="0.35">
      <c r="A227" s="2" t="s">
        <v>162</v>
      </c>
      <c r="B227" s="2" t="s">
        <v>329</v>
      </c>
      <c r="C227" s="3" t="s">
        <v>330</v>
      </c>
    </row>
    <row r="228" spans="1:3" x14ac:dyDescent="0.35">
      <c r="A228" s="2" t="s">
        <v>162</v>
      </c>
      <c r="B228" s="2" t="s">
        <v>331</v>
      </c>
      <c r="C228" s="3" t="s">
        <v>332</v>
      </c>
    </row>
    <row r="229" spans="1:3" x14ac:dyDescent="0.35">
      <c r="A229" s="2" t="s">
        <v>162</v>
      </c>
      <c r="B229" s="2" t="s">
        <v>333</v>
      </c>
      <c r="C229" s="3" t="s">
        <v>334</v>
      </c>
    </row>
    <row r="230" spans="1:3" x14ac:dyDescent="0.35">
      <c r="A230" s="2" t="s">
        <v>162</v>
      </c>
      <c r="B230" s="2" t="s">
        <v>159</v>
      </c>
      <c r="C230" s="3" t="s">
        <v>59</v>
      </c>
    </row>
    <row r="231" spans="1:3" x14ac:dyDescent="0.35">
      <c r="A231" s="2" t="s">
        <v>162</v>
      </c>
      <c r="B231" s="2" t="s">
        <v>335</v>
      </c>
      <c r="C231" s="3" t="s">
        <v>336</v>
      </c>
    </row>
    <row r="232" spans="1:3" x14ac:dyDescent="0.35">
      <c r="A232" s="2" t="s">
        <v>162</v>
      </c>
      <c r="B232" s="2" t="s">
        <v>160</v>
      </c>
      <c r="C232" s="3" t="s">
        <v>161</v>
      </c>
    </row>
    <row r="233" spans="1:3" x14ac:dyDescent="0.35">
      <c r="A233" s="2" t="s">
        <v>162</v>
      </c>
      <c r="B233" s="2" t="s">
        <v>155</v>
      </c>
      <c r="C233" s="3" t="s">
        <v>156</v>
      </c>
    </row>
    <row r="234" spans="1:3" x14ac:dyDescent="0.35">
      <c r="A234" s="2" t="s">
        <v>162</v>
      </c>
      <c r="B234" s="2" t="s">
        <v>155</v>
      </c>
      <c r="C234" s="3" t="s">
        <v>156</v>
      </c>
    </row>
    <row r="235" spans="1:3" x14ac:dyDescent="0.35">
      <c r="A235" s="2" t="s">
        <v>162</v>
      </c>
      <c r="B235" s="2" t="s">
        <v>159</v>
      </c>
      <c r="C235" s="3" t="s">
        <v>59</v>
      </c>
    </row>
    <row r="236" spans="1:3" x14ac:dyDescent="0.35">
      <c r="A236" s="2" t="s">
        <v>162</v>
      </c>
      <c r="B236" s="2" t="s">
        <v>335</v>
      </c>
      <c r="C236" s="3" t="s">
        <v>336</v>
      </c>
    </row>
    <row r="237" spans="1:3" x14ac:dyDescent="0.35">
      <c r="A237" s="2" t="s">
        <v>162</v>
      </c>
      <c r="B237" s="2" t="s">
        <v>337</v>
      </c>
      <c r="C237" s="3" t="s">
        <v>338</v>
      </c>
    </row>
    <row r="238" spans="1:3" x14ac:dyDescent="0.35">
      <c r="A238" s="2" t="s">
        <v>162</v>
      </c>
      <c r="B238" s="2" t="s">
        <v>339</v>
      </c>
      <c r="C238" s="3" t="s">
        <v>340</v>
      </c>
    </row>
    <row r="239" spans="1:3" x14ac:dyDescent="0.35">
      <c r="A239" s="2" t="s">
        <v>162</v>
      </c>
      <c r="B239" s="2" t="s">
        <v>151</v>
      </c>
      <c r="C239" s="3" t="s">
        <v>152</v>
      </c>
    </row>
    <row r="240" spans="1:3" x14ac:dyDescent="0.35">
      <c r="A240" s="2" t="s">
        <v>162</v>
      </c>
      <c r="B240" s="2" t="s">
        <v>341</v>
      </c>
      <c r="C240" s="3" t="s">
        <v>342</v>
      </c>
    </row>
    <row r="241" spans="1:3" x14ac:dyDescent="0.35">
      <c r="A241" s="2" t="s">
        <v>162</v>
      </c>
      <c r="B241" s="2" t="s">
        <v>343</v>
      </c>
      <c r="C241" s="3" t="s">
        <v>344</v>
      </c>
    </row>
    <row r="242" spans="1:3" x14ac:dyDescent="0.35">
      <c r="A242" s="2" t="s">
        <v>162</v>
      </c>
      <c r="B242" s="2" t="s">
        <v>345</v>
      </c>
      <c r="C242" s="3" t="s">
        <v>346</v>
      </c>
    </row>
    <row r="243" spans="1:3" x14ac:dyDescent="0.35">
      <c r="A243" s="2" t="s">
        <v>162</v>
      </c>
      <c r="B243" s="2" t="s">
        <v>347</v>
      </c>
      <c r="C243" s="3" t="s">
        <v>348</v>
      </c>
    </row>
    <row r="244" spans="1:3" x14ac:dyDescent="0.35">
      <c r="A244" s="2" t="s">
        <v>162</v>
      </c>
      <c r="B244" s="2" t="s">
        <v>79</v>
      </c>
      <c r="C244" s="3" t="s">
        <v>80</v>
      </c>
    </row>
    <row r="245" spans="1:3" x14ac:dyDescent="0.35">
      <c r="A245" s="2" t="s">
        <v>162</v>
      </c>
      <c r="B245" s="2" t="s">
        <v>349</v>
      </c>
      <c r="C245" s="3" t="s">
        <v>350</v>
      </c>
    </row>
    <row r="246" spans="1:3" x14ac:dyDescent="0.35">
      <c r="A246" s="2" t="s">
        <v>162</v>
      </c>
      <c r="B246" s="2" t="s">
        <v>351</v>
      </c>
      <c r="C246" s="3" t="s">
        <v>352</v>
      </c>
    </row>
    <row r="247" spans="1:3" x14ac:dyDescent="0.35">
      <c r="A247" s="2" t="s">
        <v>162</v>
      </c>
      <c r="B247" s="2" t="s">
        <v>132</v>
      </c>
      <c r="C247" s="3" t="s">
        <v>49</v>
      </c>
    </row>
    <row r="248" spans="1:3" x14ac:dyDescent="0.35">
      <c r="A248" s="2" t="s">
        <v>162</v>
      </c>
      <c r="B248" s="2" t="s">
        <v>132</v>
      </c>
      <c r="C248" s="3" t="s">
        <v>49</v>
      </c>
    </row>
    <row r="249" spans="1:3" x14ac:dyDescent="0.35">
      <c r="A249" s="2" t="s">
        <v>162</v>
      </c>
      <c r="B249" s="2" t="s">
        <v>127</v>
      </c>
      <c r="C249" s="3" t="s">
        <v>128</v>
      </c>
    </row>
    <row r="250" spans="1:3" x14ac:dyDescent="0.35">
      <c r="A250" s="2" t="s">
        <v>162</v>
      </c>
      <c r="B250" s="2" t="s">
        <v>127</v>
      </c>
      <c r="C250" s="3" t="s">
        <v>128</v>
      </c>
    </row>
    <row r="251" spans="1:3" x14ac:dyDescent="0.35">
      <c r="A251" s="2" t="s">
        <v>162</v>
      </c>
      <c r="B251" s="2" t="s">
        <v>353</v>
      </c>
      <c r="C251" s="3" t="s">
        <v>354</v>
      </c>
    </row>
    <row r="252" spans="1:3" x14ac:dyDescent="0.35">
      <c r="A252" s="2" t="s">
        <v>162</v>
      </c>
      <c r="B252" s="2" t="s">
        <v>355</v>
      </c>
      <c r="C252" s="3" t="s">
        <v>356</v>
      </c>
    </row>
    <row r="253" spans="1:3" x14ac:dyDescent="0.35">
      <c r="A253" s="2" t="s">
        <v>162</v>
      </c>
      <c r="B253" s="2" t="s">
        <v>81</v>
      </c>
      <c r="C253" s="3" t="s">
        <v>82</v>
      </c>
    </row>
    <row r="254" spans="1:3" x14ac:dyDescent="0.35">
      <c r="A254" s="2" t="s">
        <v>162</v>
      </c>
      <c r="B254" s="2" t="s">
        <v>81</v>
      </c>
      <c r="C254" s="3" t="s">
        <v>82</v>
      </c>
    </row>
    <row r="255" spans="1:3" x14ac:dyDescent="0.35">
      <c r="A255" s="2" t="s">
        <v>162</v>
      </c>
      <c r="B255" s="2" t="s">
        <v>357</v>
      </c>
      <c r="C255" s="3" t="s">
        <v>358</v>
      </c>
    </row>
    <row r="256" spans="1:3" x14ac:dyDescent="0.35">
      <c r="A256" s="2" t="s">
        <v>162</v>
      </c>
      <c r="B256" s="2" t="s">
        <v>359</v>
      </c>
      <c r="C256" s="3" t="s">
        <v>360</v>
      </c>
    </row>
    <row r="257" spans="1:3" x14ac:dyDescent="0.35">
      <c r="A257" s="2" t="s">
        <v>162</v>
      </c>
      <c r="B257" s="2" t="s">
        <v>361</v>
      </c>
      <c r="C257" s="3" t="s">
        <v>362</v>
      </c>
    </row>
    <row r="258" spans="1:3" x14ac:dyDescent="0.35">
      <c r="A258" s="2" t="s">
        <v>162</v>
      </c>
      <c r="B258" s="2" t="s">
        <v>363</v>
      </c>
      <c r="C258" s="3" t="s">
        <v>364</v>
      </c>
    </row>
    <row r="259" spans="1:3" x14ac:dyDescent="0.35">
      <c r="A259" s="2" t="s">
        <v>162</v>
      </c>
      <c r="B259" s="2" t="s">
        <v>365</v>
      </c>
      <c r="C259" s="3" t="s">
        <v>366</v>
      </c>
    </row>
    <row r="260" spans="1:3" x14ac:dyDescent="0.35">
      <c r="A260" s="2" t="s">
        <v>162</v>
      </c>
      <c r="B260" s="2" t="s">
        <v>367</v>
      </c>
      <c r="C260" s="3" t="s">
        <v>368</v>
      </c>
    </row>
    <row r="261" spans="1:3" x14ac:dyDescent="0.35">
      <c r="A261" s="2" t="s">
        <v>162</v>
      </c>
      <c r="B261" s="2" t="s">
        <v>369</v>
      </c>
      <c r="C261" s="3" t="s">
        <v>370</v>
      </c>
    </row>
    <row r="262" spans="1:3" x14ac:dyDescent="0.35">
      <c r="A262" s="2" t="s">
        <v>162</v>
      </c>
      <c r="B262" s="2" t="s">
        <v>371</v>
      </c>
      <c r="C262" s="3" t="s">
        <v>372</v>
      </c>
    </row>
    <row r="263" spans="1:3" x14ac:dyDescent="0.35">
      <c r="A263" s="2" t="s">
        <v>162</v>
      </c>
      <c r="B263" s="2" t="s">
        <v>373</v>
      </c>
      <c r="C263" s="3" t="s">
        <v>374</v>
      </c>
    </row>
    <row r="264" spans="1:3" x14ac:dyDescent="0.35">
      <c r="A264" s="2" t="s">
        <v>162</v>
      </c>
      <c r="B264" s="2" t="s">
        <v>135</v>
      </c>
      <c r="C264" s="3" t="s">
        <v>51</v>
      </c>
    </row>
    <row r="265" spans="1:3" x14ac:dyDescent="0.35">
      <c r="A265" s="2" t="s">
        <v>162</v>
      </c>
      <c r="B265" s="2" t="s">
        <v>85</v>
      </c>
      <c r="C265" s="3" t="s">
        <v>86</v>
      </c>
    </row>
    <row r="266" spans="1:3" x14ac:dyDescent="0.35">
      <c r="A266" s="7" t="s">
        <v>375</v>
      </c>
      <c r="B266" s="2" t="s">
        <v>376</v>
      </c>
      <c r="C266" s="3" t="s">
        <v>377</v>
      </c>
    </row>
    <row r="267" spans="1:3" x14ac:dyDescent="0.35">
      <c r="A267" s="7" t="s">
        <v>375</v>
      </c>
      <c r="B267" s="2" t="s">
        <v>378</v>
      </c>
      <c r="C267" s="3" t="s">
        <v>379</v>
      </c>
    </row>
    <row r="268" spans="1:3" x14ac:dyDescent="0.35">
      <c r="A268" s="7" t="s">
        <v>375</v>
      </c>
      <c r="B268" s="2" t="s">
        <v>380</v>
      </c>
      <c r="C268" s="3" t="s">
        <v>381</v>
      </c>
    </row>
    <row r="269" spans="1:3" x14ac:dyDescent="0.35">
      <c r="A269" s="7" t="s">
        <v>375</v>
      </c>
      <c r="B269" s="2" t="s">
        <v>382</v>
      </c>
      <c r="C269" s="3" t="s">
        <v>383</v>
      </c>
    </row>
    <row r="270" spans="1:3" x14ac:dyDescent="0.35">
      <c r="A270" s="7" t="s">
        <v>375</v>
      </c>
      <c r="B270" s="2" t="s">
        <v>384</v>
      </c>
      <c r="C270" s="3" t="s">
        <v>385</v>
      </c>
    </row>
    <row r="271" spans="1:3" x14ac:dyDescent="0.35">
      <c r="A271" s="7" t="s">
        <v>375</v>
      </c>
      <c r="B271" s="2" t="s">
        <v>386</v>
      </c>
      <c r="C271" s="3" t="s">
        <v>387</v>
      </c>
    </row>
    <row r="272" spans="1:3" x14ac:dyDescent="0.35">
      <c r="A272" s="7" t="s">
        <v>375</v>
      </c>
      <c r="B272" s="2" t="s">
        <v>388</v>
      </c>
      <c r="C272" s="3" t="s">
        <v>389</v>
      </c>
    </row>
    <row r="273" spans="1:3" x14ac:dyDescent="0.35">
      <c r="A273" s="7" t="s">
        <v>375</v>
      </c>
      <c r="B273" s="2" t="s">
        <v>390</v>
      </c>
      <c r="C273" s="3" t="s">
        <v>391</v>
      </c>
    </row>
    <row r="274" spans="1:3" x14ac:dyDescent="0.35">
      <c r="A274" s="7" t="s">
        <v>375</v>
      </c>
      <c r="B274" s="2" t="s">
        <v>392</v>
      </c>
      <c r="C274" s="3" t="s">
        <v>393</v>
      </c>
    </row>
    <row r="275" spans="1:3" x14ac:dyDescent="0.35">
      <c r="A275" s="7" t="s">
        <v>375</v>
      </c>
      <c r="B275" s="2" t="s">
        <v>394</v>
      </c>
      <c r="C275" s="3" t="s">
        <v>395</v>
      </c>
    </row>
    <row r="276" spans="1:3" x14ac:dyDescent="0.35">
      <c r="A276" s="7" t="s">
        <v>375</v>
      </c>
      <c r="B276" s="2" t="s">
        <v>396</v>
      </c>
      <c r="C276" s="3" t="s">
        <v>397</v>
      </c>
    </row>
    <row r="277" spans="1:3" x14ac:dyDescent="0.35">
      <c r="A277" s="7" t="s">
        <v>375</v>
      </c>
      <c r="B277" s="2" t="s">
        <v>398</v>
      </c>
      <c r="C277" s="3" t="s">
        <v>399</v>
      </c>
    </row>
    <row r="278" spans="1:3" x14ac:dyDescent="0.35">
      <c r="A278" s="7" t="s">
        <v>375</v>
      </c>
      <c r="B278" s="2" t="s">
        <v>400</v>
      </c>
      <c r="C278" s="3" t="s">
        <v>401</v>
      </c>
    </row>
    <row r="279" spans="1:3" x14ac:dyDescent="0.35">
      <c r="A279" s="7" t="s">
        <v>375</v>
      </c>
      <c r="B279" s="2" t="s">
        <v>402</v>
      </c>
      <c r="C279" s="3" t="s">
        <v>403</v>
      </c>
    </row>
    <row r="280" spans="1:3" x14ac:dyDescent="0.35">
      <c r="A280" s="7" t="s">
        <v>375</v>
      </c>
      <c r="B280" s="2" t="s">
        <v>404</v>
      </c>
      <c r="C280" s="3" t="s">
        <v>405</v>
      </c>
    </row>
    <row r="281" spans="1:3" x14ac:dyDescent="0.35">
      <c r="A281" s="7" t="s">
        <v>375</v>
      </c>
      <c r="B281" s="2" t="s">
        <v>406</v>
      </c>
      <c r="C281" s="3" t="s">
        <v>407</v>
      </c>
    </row>
    <row r="282" spans="1:3" x14ac:dyDescent="0.35">
      <c r="A282" s="7" t="s">
        <v>375</v>
      </c>
      <c r="B282" s="2" t="s">
        <v>408</v>
      </c>
      <c r="C282" s="3" t="s">
        <v>409</v>
      </c>
    </row>
    <row r="283" spans="1:3" x14ac:dyDescent="0.35">
      <c r="A283" s="7" t="s">
        <v>375</v>
      </c>
      <c r="B283" s="2" t="s">
        <v>410</v>
      </c>
      <c r="C283" s="3" t="s">
        <v>411</v>
      </c>
    </row>
    <row r="284" spans="1:3" x14ac:dyDescent="0.35">
      <c r="A284" s="7" t="s">
        <v>375</v>
      </c>
      <c r="B284" s="2" t="s">
        <v>412</v>
      </c>
      <c r="C284" s="3" t="s">
        <v>413</v>
      </c>
    </row>
    <row r="285" spans="1:3" x14ac:dyDescent="0.35">
      <c r="A285" s="7" t="s">
        <v>375</v>
      </c>
      <c r="B285" s="2" t="s">
        <v>414</v>
      </c>
      <c r="C285" s="3" t="s">
        <v>415</v>
      </c>
    </row>
    <row r="286" spans="1:3" x14ac:dyDescent="0.35">
      <c r="A286" s="7" t="s">
        <v>375</v>
      </c>
      <c r="B286" s="2" t="s">
        <v>416</v>
      </c>
      <c r="C286" s="3" t="s">
        <v>417</v>
      </c>
    </row>
    <row r="287" spans="1:3" x14ac:dyDescent="0.35">
      <c r="A287" s="7" t="s">
        <v>375</v>
      </c>
      <c r="B287" s="2" t="s">
        <v>418</v>
      </c>
      <c r="C287" s="3" t="s">
        <v>419</v>
      </c>
    </row>
    <row r="288" spans="1:3" x14ac:dyDescent="0.35">
      <c r="A288" s="7" t="s">
        <v>375</v>
      </c>
      <c r="B288" s="2" t="s">
        <v>420</v>
      </c>
      <c r="C288" s="3" t="s">
        <v>421</v>
      </c>
    </row>
    <row r="289" spans="1:3" x14ac:dyDescent="0.35">
      <c r="A289" s="7" t="s">
        <v>375</v>
      </c>
      <c r="B289" s="2" t="s">
        <v>422</v>
      </c>
      <c r="C289" s="3" t="s">
        <v>423</v>
      </c>
    </row>
    <row r="290" spans="1:3" x14ac:dyDescent="0.35">
      <c r="A290" s="7" t="s">
        <v>375</v>
      </c>
      <c r="B290" s="2" t="s">
        <v>424</v>
      </c>
      <c r="C290" s="3" t="s">
        <v>425</v>
      </c>
    </row>
    <row r="291" spans="1:3" x14ac:dyDescent="0.35">
      <c r="A291" s="7" t="s">
        <v>375</v>
      </c>
      <c r="B291" s="2" t="s">
        <v>426</v>
      </c>
      <c r="C291" s="3" t="s">
        <v>427</v>
      </c>
    </row>
    <row r="292" spans="1:3" x14ac:dyDescent="0.35">
      <c r="A292" s="7" t="s">
        <v>375</v>
      </c>
      <c r="B292" s="2" t="s">
        <v>428</v>
      </c>
      <c r="C292" s="3" t="s">
        <v>429</v>
      </c>
    </row>
  </sheetData>
  <pageMargins left="0.7" right="0.7" top="0.75" bottom="0.75" header="0.3" footer="0.3"/>
  <headerFooter>
    <oddFooter>&amp;L_x000D_&amp;1#&amp;"Aptos"&amp;14&amp;K000000 Información Interna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5FA92-C848-45B5-9AC3-4EBBABF797B4}">
  <sheetPr codeName="Sheet3">
    <tabColor theme="5"/>
  </sheetPr>
  <dimension ref="A1:K345"/>
  <sheetViews>
    <sheetView topLeftCell="D1" zoomScale="106" zoomScaleNormal="106" workbookViewId="0">
      <selection activeCell="G1" sqref="G1"/>
    </sheetView>
  </sheetViews>
  <sheetFormatPr baseColWidth="10" defaultColWidth="11.453125" defaultRowHeight="14.5" x14ac:dyDescent="0.35"/>
  <cols>
    <col min="3" max="3" width="35.6328125" customWidth="1"/>
    <col min="5" max="5" width="35.6328125" customWidth="1"/>
    <col min="6" max="6" width="42.1796875" bestFit="1" customWidth="1"/>
    <col min="7" max="9" width="42.453125" customWidth="1"/>
    <col min="10" max="10" width="42.1796875" bestFit="1" customWidth="1"/>
    <col min="11" max="11" width="51.1796875" bestFit="1" customWidth="1"/>
  </cols>
  <sheetData>
    <row r="1" spans="1:11" x14ac:dyDescent="0.35">
      <c r="A1" s="1" t="s">
        <v>0</v>
      </c>
      <c r="B1" s="1" t="s">
        <v>430</v>
      </c>
      <c r="C1" s="1" t="s">
        <v>431</v>
      </c>
      <c r="D1" s="1" t="s">
        <v>432</v>
      </c>
      <c r="E1" s="1" t="s">
        <v>433</v>
      </c>
      <c r="F1" s="1" t="s">
        <v>434</v>
      </c>
      <c r="G1" s="1" t="s">
        <v>435</v>
      </c>
      <c r="H1" s="1" t="s">
        <v>436</v>
      </c>
      <c r="I1" s="1" t="s">
        <v>437</v>
      </c>
      <c r="J1" s="1" t="s">
        <v>438</v>
      </c>
      <c r="K1" s="1" t="s">
        <v>439</v>
      </c>
    </row>
    <row r="2" spans="1:11" x14ac:dyDescent="0.35">
      <c r="A2" s="2" t="s">
        <v>3</v>
      </c>
      <c r="B2" s="2"/>
      <c r="C2" s="2"/>
      <c r="D2" s="2"/>
      <c r="E2" s="2"/>
      <c r="F2" s="3" t="s">
        <v>440</v>
      </c>
      <c r="G2" s="3" t="s">
        <v>441</v>
      </c>
      <c r="H2" s="3"/>
      <c r="I2" s="3"/>
      <c r="J2" s="3" t="s">
        <v>442</v>
      </c>
      <c r="K2" s="3" t="s">
        <v>443</v>
      </c>
    </row>
    <row r="3" spans="1:11" x14ac:dyDescent="0.35">
      <c r="A3" s="2" t="s">
        <v>3</v>
      </c>
      <c r="B3" s="2"/>
      <c r="C3" s="2"/>
      <c r="D3" s="2"/>
      <c r="E3" s="2"/>
      <c r="F3" s="3" t="s">
        <v>444</v>
      </c>
      <c r="G3" s="3" t="s">
        <v>445</v>
      </c>
      <c r="H3" s="3"/>
      <c r="I3" s="3"/>
      <c r="J3" s="3" t="s">
        <v>446</v>
      </c>
      <c r="K3" s="3" t="s">
        <v>447</v>
      </c>
    </row>
    <row r="4" spans="1:11" x14ac:dyDescent="0.35">
      <c r="A4" s="2" t="s">
        <v>3</v>
      </c>
      <c r="B4" s="2"/>
      <c r="C4" s="2"/>
      <c r="D4" s="2"/>
      <c r="E4" s="2"/>
      <c r="F4" s="3" t="s">
        <v>448</v>
      </c>
      <c r="G4" s="3" t="s">
        <v>449</v>
      </c>
      <c r="H4" s="3"/>
      <c r="I4" s="3"/>
      <c r="J4" s="3" t="s">
        <v>450</v>
      </c>
      <c r="K4" s="3" t="s">
        <v>451</v>
      </c>
    </row>
    <row r="5" spans="1:11" x14ac:dyDescent="0.35">
      <c r="A5" s="2" t="s">
        <v>3</v>
      </c>
      <c r="B5" s="2"/>
      <c r="C5" s="2"/>
      <c r="D5" s="2"/>
      <c r="E5" s="2"/>
      <c r="F5" s="3" t="s">
        <v>452</v>
      </c>
      <c r="G5" s="3" t="s">
        <v>453</v>
      </c>
      <c r="H5" s="3"/>
      <c r="I5" s="3"/>
      <c r="J5" s="3" t="s">
        <v>454</v>
      </c>
      <c r="K5" s="3" t="s">
        <v>455</v>
      </c>
    </row>
    <row r="6" spans="1:11" x14ac:dyDescent="0.35">
      <c r="A6" s="2" t="s">
        <v>3</v>
      </c>
      <c r="B6" s="2"/>
      <c r="C6" s="2"/>
      <c r="D6" s="2"/>
      <c r="E6" s="2"/>
      <c r="F6" s="3" t="s">
        <v>456</v>
      </c>
      <c r="G6" s="3" t="s">
        <v>457</v>
      </c>
      <c r="H6" s="3"/>
      <c r="I6" s="3"/>
      <c r="J6" s="3" t="s">
        <v>458</v>
      </c>
      <c r="K6" s="3" t="s">
        <v>459</v>
      </c>
    </row>
    <row r="7" spans="1:11" x14ac:dyDescent="0.35">
      <c r="A7" s="2" t="s">
        <v>3</v>
      </c>
      <c r="B7" s="2"/>
      <c r="C7" s="2"/>
      <c r="D7" s="2"/>
      <c r="E7" s="2"/>
      <c r="F7" s="3" t="s">
        <v>460</v>
      </c>
      <c r="G7" s="3" t="s">
        <v>461</v>
      </c>
      <c r="H7" s="3"/>
      <c r="I7" s="3"/>
      <c r="J7" s="3" t="s">
        <v>462</v>
      </c>
      <c r="K7" s="3" t="s">
        <v>463</v>
      </c>
    </row>
    <row r="8" spans="1:11" x14ac:dyDescent="0.35">
      <c r="A8" s="2" t="s">
        <v>3</v>
      </c>
      <c r="B8" s="2"/>
      <c r="C8" s="2"/>
      <c r="D8" s="2"/>
      <c r="E8" s="2"/>
      <c r="F8" s="3" t="s">
        <v>464</v>
      </c>
      <c r="G8" s="3" t="s">
        <v>465</v>
      </c>
      <c r="H8" s="3"/>
      <c r="I8" s="3"/>
      <c r="J8" s="3" t="s">
        <v>466</v>
      </c>
      <c r="K8" s="3" t="s">
        <v>467</v>
      </c>
    </row>
    <row r="9" spans="1:11" x14ac:dyDescent="0.35">
      <c r="A9" s="2" t="s">
        <v>3</v>
      </c>
      <c r="B9" s="2"/>
      <c r="C9" s="2"/>
      <c r="D9" s="2"/>
      <c r="E9" s="2"/>
      <c r="F9" s="3" t="s">
        <v>468</v>
      </c>
      <c r="G9" s="3" t="s">
        <v>469</v>
      </c>
      <c r="H9" s="3"/>
      <c r="I9" s="3"/>
      <c r="J9" s="3" t="s">
        <v>470</v>
      </c>
      <c r="K9" s="3" t="s">
        <v>471</v>
      </c>
    </row>
    <row r="10" spans="1:11" x14ac:dyDescent="0.35">
      <c r="A10" s="2" t="s">
        <v>3</v>
      </c>
      <c r="B10" s="2"/>
      <c r="C10" s="2"/>
      <c r="D10" s="2"/>
      <c r="E10" s="2"/>
      <c r="F10" s="3" t="s">
        <v>472</v>
      </c>
      <c r="G10" s="3" t="s">
        <v>473</v>
      </c>
      <c r="H10" s="3"/>
      <c r="I10" s="3"/>
      <c r="J10" s="3" t="s">
        <v>474</v>
      </c>
      <c r="K10" s="3" t="s">
        <v>475</v>
      </c>
    </row>
    <row r="11" spans="1:11" x14ac:dyDescent="0.35">
      <c r="A11" s="2" t="s">
        <v>3</v>
      </c>
      <c r="B11" s="2"/>
      <c r="C11" s="2"/>
      <c r="D11" s="2"/>
      <c r="E11" s="2"/>
      <c r="F11" s="3" t="s">
        <v>476</v>
      </c>
      <c r="G11" s="3" t="s">
        <v>477</v>
      </c>
      <c r="H11" s="3"/>
      <c r="I11" s="3"/>
      <c r="J11" s="3" t="s">
        <v>478</v>
      </c>
      <c r="K11" s="3" t="s">
        <v>479</v>
      </c>
    </row>
    <row r="12" spans="1:11" x14ac:dyDescent="0.35">
      <c r="A12" s="2" t="s">
        <v>3</v>
      </c>
      <c r="B12" s="2"/>
      <c r="C12" s="2"/>
      <c r="D12" s="2"/>
      <c r="E12" s="2"/>
      <c r="F12" s="3" t="s">
        <v>480</v>
      </c>
      <c r="G12" s="3" t="s">
        <v>481</v>
      </c>
      <c r="H12" s="3"/>
      <c r="I12" s="3"/>
      <c r="J12" s="3" t="s">
        <v>482</v>
      </c>
      <c r="K12" s="3" t="s">
        <v>483</v>
      </c>
    </row>
    <row r="13" spans="1:11" x14ac:dyDescent="0.35">
      <c r="A13" s="2" t="s">
        <v>3</v>
      </c>
      <c r="B13" s="2"/>
      <c r="C13" s="2"/>
      <c r="D13" s="2"/>
      <c r="E13" s="2"/>
      <c r="F13" s="3" t="s">
        <v>484</v>
      </c>
      <c r="G13" s="3" t="s">
        <v>443</v>
      </c>
      <c r="H13" s="3"/>
      <c r="I13" s="3"/>
      <c r="J13" s="3" t="s">
        <v>485</v>
      </c>
      <c r="K13" s="3" t="s">
        <v>486</v>
      </c>
    </row>
    <row r="14" spans="1:11" x14ac:dyDescent="0.35">
      <c r="A14" s="2" t="s">
        <v>3</v>
      </c>
      <c r="B14" s="2"/>
      <c r="C14" s="2"/>
      <c r="D14" s="2"/>
      <c r="E14" s="2"/>
      <c r="F14" s="3" t="s">
        <v>487</v>
      </c>
      <c r="G14" s="3" t="s">
        <v>488</v>
      </c>
      <c r="H14" s="3"/>
      <c r="I14" s="3"/>
      <c r="J14" s="3" t="s">
        <v>489</v>
      </c>
      <c r="K14" s="3" t="s">
        <v>490</v>
      </c>
    </row>
    <row r="15" spans="1:11" x14ac:dyDescent="0.35">
      <c r="A15" s="2" t="s">
        <v>3</v>
      </c>
      <c r="B15" s="2"/>
      <c r="C15" s="2"/>
      <c r="D15" s="2"/>
      <c r="E15" s="2"/>
      <c r="F15" s="3" t="s">
        <v>491</v>
      </c>
      <c r="G15" s="3" t="s">
        <v>451</v>
      </c>
      <c r="H15" s="3"/>
      <c r="I15" s="3"/>
      <c r="J15" s="3" t="s">
        <v>492</v>
      </c>
      <c r="K15" s="3" t="s">
        <v>493</v>
      </c>
    </row>
    <row r="16" spans="1:11" x14ac:dyDescent="0.35">
      <c r="A16" s="2" t="s">
        <v>3</v>
      </c>
      <c r="B16" s="2"/>
      <c r="C16" s="2"/>
      <c r="D16" s="2"/>
      <c r="E16" s="2"/>
      <c r="F16" s="5"/>
      <c r="G16" s="5"/>
      <c r="H16" s="5"/>
      <c r="I16" s="5"/>
      <c r="J16" s="3" t="s">
        <v>494</v>
      </c>
      <c r="K16" s="3" t="s">
        <v>495</v>
      </c>
    </row>
    <row r="17" spans="1:11" x14ac:dyDescent="0.35">
      <c r="A17" s="2" t="s">
        <v>3</v>
      </c>
      <c r="B17" s="2"/>
      <c r="C17" s="2"/>
      <c r="D17" s="2"/>
      <c r="E17" s="2"/>
      <c r="F17" s="5"/>
      <c r="G17" s="5"/>
      <c r="H17" s="5"/>
      <c r="I17" s="5"/>
      <c r="J17" s="3" t="s">
        <v>496</v>
      </c>
      <c r="K17" s="3" t="s">
        <v>497</v>
      </c>
    </row>
    <row r="18" spans="1:11" x14ac:dyDescent="0.35">
      <c r="A18" s="2" t="s">
        <v>3</v>
      </c>
      <c r="B18" s="2"/>
      <c r="C18" s="2"/>
      <c r="D18" s="2"/>
      <c r="E18" s="2"/>
      <c r="F18" s="5"/>
      <c r="G18" s="5"/>
      <c r="H18" s="5"/>
      <c r="I18" s="5"/>
      <c r="J18" s="3" t="s">
        <v>498</v>
      </c>
      <c r="K18" s="3" t="s">
        <v>499</v>
      </c>
    </row>
    <row r="19" spans="1:11" x14ac:dyDescent="0.35">
      <c r="A19" s="2" t="s">
        <v>3</v>
      </c>
      <c r="B19" s="2"/>
      <c r="C19" s="2"/>
      <c r="D19" s="2"/>
      <c r="E19" s="2"/>
      <c r="F19" s="5"/>
      <c r="G19" s="5"/>
      <c r="H19" s="5"/>
      <c r="I19" s="5"/>
      <c r="J19" s="3" t="s">
        <v>500</v>
      </c>
      <c r="K19" s="3" t="s">
        <v>501</v>
      </c>
    </row>
    <row r="20" spans="1:11" x14ac:dyDescent="0.35">
      <c r="A20" s="2" t="s">
        <v>3</v>
      </c>
      <c r="B20" s="2"/>
      <c r="C20" s="2"/>
      <c r="D20" s="2"/>
      <c r="E20" s="2"/>
      <c r="F20" s="5"/>
      <c r="G20" s="5"/>
      <c r="H20" s="5"/>
      <c r="I20" s="5"/>
      <c r="J20" s="3" t="s">
        <v>502</v>
      </c>
      <c r="K20" s="3" t="s">
        <v>503</v>
      </c>
    </row>
    <row r="21" spans="1:11" x14ac:dyDescent="0.35">
      <c r="A21" s="2" t="s">
        <v>3</v>
      </c>
      <c r="B21" s="2"/>
      <c r="C21" s="2"/>
      <c r="D21" s="2"/>
      <c r="E21" s="2"/>
      <c r="F21" s="5"/>
      <c r="G21" s="5"/>
      <c r="H21" s="5"/>
      <c r="I21" s="5"/>
      <c r="J21" s="3" t="s">
        <v>504</v>
      </c>
      <c r="K21" s="3" t="s">
        <v>505</v>
      </c>
    </row>
    <row r="22" spans="1:11" x14ac:dyDescent="0.35">
      <c r="A22" s="2" t="s">
        <v>3</v>
      </c>
      <c r="B22" s="2"/>
      <c r="C22" s="2"/>
      <c r="D22" s="2"/>
      <c r="E22" s="2"/>
      <c r="F22" s="5"/>
      <c r="G22" s="5"/>
      <c r="H22" s="5"/>
      <c r="I22" s="5"/>
      <c r="J22" s="3" t="s">
        <v>506</v>
      </c>
      <c r="K22" s="3" t="s">
        <v>507</v>
      </c>
    </row>
    <row r="23" spans="1:11" x14ac:dyDescent="0.35">
      <c r="A23" s="2" t="s">
        <v>3</v>
      </c>
      <c r="B23" s="2"/>
      <c r="C23" s="2"/>
      <c r="D23" s="2"/>
      <c r="E23" s="2"/>
      <c r="F23" s="5"/>
      <c r="G23" s="5"/>
      <c r="H23" s="5"/>
      <c r="I23" s="5"/>
      <c r="J23" s="3" t="s">
        <v>508</v>
      </c>
      <c r="K23" s="3" t="s">
        <v>509</v>
      </c>
    </row>
    <row r="24" spans="1:11" x14ac:dyDescent="0.35">
      <c r="A24" s="2" t="s">
        <v>3</v>
      </c>
      <c r="B24" s="2"/>
      <c r="C24" s="2"/>
      <c r="D24" s="2"/>
      <c r="E24" s="2"/>
      <c r="F24" s="5"/>
      <c r="G24" s="5"/>
      <c r="H24" s="5"/>
      <c r="I24" s="5"/>
      <c r="J24" s="3" t="s">
        <v>510</v>
      </c>
      <c r="K24" s="3" t="s">
        <v>511</v>
      </c>
    </row>
    <row r="25" spans="1:11" x14ac:dyDescent="0.35">
      <c r="A25" s="2" t="s">
        <v>3</v>
      </c>
      <c r="B25" s="2"/>
      <c r="C25" s="2"/>
      <c r="D25" s="2"/>
      <c r="E25" s="2"/>
      <c r="F25" s="5"/>
      <c r="G25" s="5"/>
      <c r="H25" s="5"/>
      <c r="I25" s="5"/>
      <c r="J25" s="3" t="s">
        <v>512</v>
      </c>
      <c r="K25" s="3" t="s">
        <v>513</v>
      </c>
    </row>
    <row r="26" spans="1:11" x14ac:dyDescent="0.35">
      <c r="A26" s="2" t="s">
        <v>3</v>
      </c>
      <c r="B26" s="2"/>
      <c r="C26" s="2"/>
      <c r="D26" s="2"/>
      <c r="E26" s="2"/>
      <c r="F26" s="5"/>
      <c r="G26" s="5"/>
      <c r="H26" s="5"/>
      <c r="I26" s="5"/>
      <c r="J26" s="3" t="s">
        <v>514</v>
      </c>
      <c r="K26" s="3" t="s">
        <v>515</v>
      </c>
    </row>
    <row r="27" spans="1:11" x14ac:dyDescent="0.35">
      <c r="A27" s="2" t="s">
        <v>3</v>
      </c>
      <c r="B27" s="2"/>
      <c r="C27" s="2"/>
      <c r="D27" s="2"/>
      <c r="E27" s="2"/>
      <c r="F27" s="5"/>
      <c r="G27" s="5"/>
      <c r="H27" s="5"/>
      <c r="I27" s="5"/>
      <c r="J27" s="3" t="s">
        <v>516</v>
      </c>
      <c r="K27" s="3" t="s">
        <v>517</v>
      </c>
    </row>
    <row r="28" spans="1:11" x14ac:dyDescent="0.35">
      <c r="A28" s="2" t="s">
        <v>3</v>
      </c>
      <c r="B28" s="2"/>
      <c r="C28" s="2"/>
      <c r="D28" s="2"/>
      <c r="E28" s="2"/>
      <c r="F28" s="5"/>
      <c r="G28" s="5"/>
      <c r="H28" s="5"/>
      <c r="I28" s="5"/>
      <c r="J28" s="3" t="s">
        <v>518</v>
      </c>
      <c r="K28" s="3" t="s">
        <v>477</v>
      </c>
    </row>
    <row r="29" spans="1:11" x14ac:dyDescent="0.35">
      <c r="A29" s="2" t="s">
        <v>3</v>
      </c>
      <c r="B29" s="2"/>
      <c r="C29" s="2"/>
      <c r="D29" s="2"/>
      <c r="E29" s="2"/>
      <c r="F29" s="5"/>
      <c r="G29" s="5"/>
      <c r="H29" s="5"/>
      <c r="I29" s="5"/>
      <c r="J29" s="3" t="s">
        <v>519</v>
      </c>
      <c r="K29" s="3" t="s">
        <v>481</v>
      </c>
    </row>
    <row r="30" spans="1:11" x14ac:dyDescent="0.35">
      <c r="A30" s="2" t="s">
        <v>3</v>
      </c>
      <c r="B30" s="2"/>
      <c r="C30" s="2"/>
      <c r="D30" s="2"/>
      <c r="E30" s="2"/>
      <c r="F30" s="5"/>
      <c r="G30" s="5"/>
      <c r="H30" s="5"/>
      <c r="I30" s="5"/>
      <c r="J30" s="3" t="s">
        <v>450</v>
      </c>
      <c r="K30" s="3" t="s">
        <v>451</v>
      </c>
    </row>
    <row r="31" spans="1:11" x14ac:dyDescent="0.35">
      <c r="A31" s="2" t="s">
        <v>64</v>
      </c>
      <c r="B31" s="2"/>
      <c r="C31" s="2"/>
      <c r="D31" s="2"/>
      <c r="E31" s="2"/>
      <c r="F31" s="3" t="s">
        <v>520</v>
      </c>
      <c r="G31" s="3" t="s">
        <v>521</v>
      </c>
      <c r="H31" s="3"/>
      <c r="I31" s="3"/>
      <c r="J31" s="3" t="s">
        <v>522</v>
      </c>
      <c r="K31" s="3" t="s">
        <v>523</v>
      </c>
    </row>
    <row r="32" spans="1:11" x14ac:dyDescent="0.35">
      <c r="A32" s="2" t="s">
        <v>64</v>
      </c>
      <c r="B32" s="2"/>
      <c r="C32" s="2"/>
      <c r="D32" s="2"/>
      <c r="E32" s="2"/>
      <c r="F32" s="3" t="s">
        <v>524</v>
      </c>
      <c r="G32" s="3" t="s">
        <v>525</v>
      </c>
      <c r="H32" s="3"/>
      <c r="I32" s="3"/>
      <c r="J32" s="3" t="s">
        <v>526</v>
      </c>
      <c r="K32" s="3" t="s">
        <v>527</v>
      </c>
    </row>
    <row r="33" spans="1:11" x14ac:dyDescent="0.35">
      <c r="A33" s="2" t="s">
        <v>64</v>
      </c>
      <c r="B33" s="2"/>
      <c r="C33" s="2"/>
      <c r="D33" s="2"/>
      <c r="E33" s="2"/>
      <c r="F33" s="3" t="s">
        <v>528</v>
      </c>
      <c r="G33" s="3" t="s">
        <v>529</v>
      </c>
      <c r="H33" s="3"/>
      <c r="I33" s="3"/>
      <c r="J33" s="3" t="s">
        <v>530</v>
      </c>
      <c r="K33" s="3" t="s">
        <v>531</v>
      </c>
    </row>
    <row r="34" spans="1:11" x14ac:dyDescent="0.35">
      <c r="A34" s="2" t="s">
        <v>64</v>
      </c>
      <c r="B34" s="2"/>
      <c r="C34" s="2"/>
      <c r="D34" s="2"/>
      <c r="E34" s="2"/>
      <c r="F34" s="3" t="s">
        <v>532</v>
      </c>
      <c r="G34" s="3" t="s">
        <v>533</v>
      </c>
      <c r="H34" s="3"/>
      <c r="I34" s="3"/>
      <c r="J34" s="3" t="s">
        <v>534</v>
      </c>
      <c r="K34" s="3" t="s">
        <v>535</v>
      </c>
    </row>
    <row r="35" spans="1:11" x14ac:dyDescent="0.35">
      <c r="A35" s="2" t="s">
        <v>64</v>
      </c>
      <c r="B35" s="2"/>
      <c r="C35" s="2"/>
      <c r="D35" s="2"/>
      <c r="E35" s="2"/>
      <c r="F35" s="3" t="s">
        <v>536</v>
      </c>
      <c r="G35" s="3" t="s">
        <v>537</v>
      </c>
      <c r="H35" s="3"/>
      <c r="I35" s="3"/>
      <c r="J35" s="3" t="s">
        <v>538</v>
      </c>
      <c r="K35" s="3" t="s">
        <v>539</v>
      </c>
    </row>
    <row r="36" spans="1:11" x14ac:dyDescent="0.35">
      <c r="A36" s="2" t="s">
        <v>64</v>
      </c>
      <c r="B36" s="2"/>
      <c r="C36" s="2"/>
      <c r="D36" s="2"/>
      <c r="E36" s="2"/>
      <c r="F36" s="3" t="s">
        <v>540</v>
      </c>
      <c r="G36" s="3" t="s">
        <v>541</v>
      </c>
      <c r="H36" s="3"/>
      <c r="I36" s="3"/>
      <c r="J36" s="3" t="s">
        <v>542</v>
      </c>
      <c r="K36" s="3" t="s">
        <v>543</v>
      </c>
    </row>
    <row r="37" spans="1:11" x14ac:dyDescent="0.35">
      <c r="A37" s="2" t="s">
        <v>64</v>
      </c>
      <c r="B37" s="2"/>
      <c r="C37" s="2"/>
      <c r="D37" s="2"/>
      <c r="E37" s="2"/>
      <c r="F37" s="3" t="s">
        <v>544</v>
      </c>
      <c r="G37" s="3" t="s">
        <v>545</v>
      </c>
      <c r="H37" s="3"/>
      <c r="I37" s="3"/>
      <c r="J37" s="3" t="s">
        <v>546</v>
      </c>
      <c r="K37" s="3" t="s">
        <v>547</v>
      </c>
    </row>
    <row r="38" spans="1:11" x14ac:dyDescent="0.35">
      <c r="A38" s="2" t="s">
        <v>64</v>
      </c>
      <c r="B38" s="2"/>
      <c r="C38" s="2"/>
      <c r="D38" s="2"/>
      <c r="E38" s="2"/>
      <c r="F38" s="3" t="s">
        <v>548</v>
      </c>
      <c r="G38" s="3" t="s">
        <v>549</v>
      </c>
      <c r="H38" s="3"/>
      <c r="I38" s="3"/>
      <c r="J38" s="3" t="s">
        <v>550</v>
      </c>
      <c r="K38" s="3" t="s">
        <v>551</v>
      </c>
    </row>
    <row r="39" spans="1:11" x14ac:dyDescent="0.35">
      <c r="A39" s="2" t="s">
        <v>64</v>
      </c>
      <c r="B39" s="2"/>
      <c r="C39" s="2"/>
      <c r="D39" s="2"/>
      <c r="E39" s="2"/>
      <c r="F39" s="3" t="s">
        <v>552</v>
      </c>
      <c r="G39" s="3" t="s">
        <v>553</v>
      </c>
      <c r="H39" s="3"/>
      <c r="I39" s="3"/>
      <c r="J39" s="3" t="s">
        <v>554</v>
      </c>
      <c r="K39" s="3" t="s">
        <v>555</v>
      </c>
    </row>
    <row r="40" spans="1:11" x14ac:dyDescent="0.35">
      <c r="A40" s="2" t="s">
        <v>64</v>
      </c>
      <c r="B40" s="2"/>
      <c r="C40" s="2"/>
      <c r="D40" s="2"/>
      <c r="E40" s="2"/>
      <c r="F40" s="3" t="s">
        <v>556</v>
      </c>
      <c r="G40" s="3" t="s">
        <v>557</v>
      </c>
      <c r="H40" s="3"/>
      <c r="I40" s="3"/>
      <c r="J40" s="3" t="s">
        <v>558</v>
      </c>
      <c r="K40" s="3" t="s">
        <v>559</v>
      </c>
    </row>
    <row r="41" spans="1:11" x14ac:dyDescent="0.35">
      <c r="A41" s="2" t="s">
        <v>64</v>
      </c>
      <c r="B41" s="2"/>
      <c r="C41" s="2"/>
      <c r="D41" s="2"/>
      <c r="E41" s="2"/>
      <c r="F41" s="3" t="s">
        <v>560</v>
      </c>
      <c r="G41" s="3" t="s">
        <v>561</v>
      </c>
      <c r="H41" s="3"/>
      <c r="I41" s="3"/>
      <c r="J41" s="3" t="s">
        <v>562</v>
      </c>
      <c r="K41" s="3" t="s">
        <v>563</v>
      </c>
    </row>
    <row r="42" spans="1:11" x14ac:dyDescent="0.35">
      <c r="A42" s="2" t="s">
        <v>64</v>
      </c>
      <c r="B42" s="2"/>
      <c r="C42" s="2"/>
      <c r="D42" s="2"/>
      <c r="E42" s="2"/>
      <c r="F42" s="3" t="s">
        <v>564</v>
      </c>
      <c r="G42" s="3" t="s">
        <v>523</v>
      </c>
      <c r="H42" s="3"/>
      <c r="I42" s="3"/>
      <c r="J42" s="3" t="s">
        <v>565</v>
      </c>
      <c r="K42" s="3" t="s">
        <v>566</v>
      </c>
    </row>
    <row r="43" spans="1:11" x14ac:dyDescent="0.35">
      <c r="A43" s="2" t="s">
        <v>64</v>
      </c>
      <c r="B43" s="2"/>
      <c r="C43" s="2"/>
      <c r="D43" s="2"/>
      <c r="E43" s="2"/>
      <c r="F43" s="3" t="s">
        <v>567</v>
      </c>
      <c r="G43" s="3" t="s">
        <v>568</v>
      </c>
      <c r="H43" s="3"/>
      <c r="I43" s="3"/>
      <c r="J43" s="3" t="s">
        <v>569</v>
      </c>
      <c r="K43" s="3" t="s">
        <v>570</v>
      </c>
    </row>
    <row r="44" spans="1:11" x14ac:dyDescent="0.35">
      <c r="A44" s="2" t="s">
        <v>64</v>
      </c>
      <c r="B44" s="2"/>
      <c r="C44" s="2"/>
      <c r="D44" s="2"/>
      <c r="E44" s="2"/>
      <c r="F44" s="3" t="s">
        <v>571</v>
      </c>
      <c r="G44" s="3" t="s">
        <v>531</v>
      </c>
      <c r="H44" s="3"/>
      <c r="I44" s="3"/>
      <c r="J44" s="3" t="s">
        <v>572</v>
      </c>
      <c r="K44" s="3" t="s">
        <v>573</v>
      </c>
    </row>
    <row r="45" spans="1:11" x14ac:dyDescent="0.35">
      <c r="A45" s="2" t="s">
        <v>64</v>
      </c>
      <c r="B45" s="2"/>
      <c r="C45" s="2"/>
      <c r="D45" s="2"/>
      <c r="E45" s="2"/>
      <c r="F45" s="3"/>
      <c r="G45" s="3"/>
      <c r="H45" s="3"/>
      <c r="I45" s="3"/>
      <c r="J45" s="3" t="s">
        <v>574</v>
      </c>
      <c r="K45" s="3" t="s">
        <v>575</v>
      </c>
    </row>
    <row r="46" spans="1:11" x14ac:dyDescent="0.35">
      <c r="A46" s="2" t="s">
        <v>64</v>
      </c>
      <c r="B46" s="2"/>
      <c r="C46" s="2"/>
      <c r="D46" s="2"/>
      <c r="E46" s="2"/>
      <c r="F46" s="3"/>
      <c r="G46" s="3"/>
      <c r="H46" s="3"/>
      <c r="I46" s="3"/>
      <c r="J46" s="3" t="s">
        <v>576</v>
      </c>
      <c r="K46" s="3" t="s">
        <v>577</v>
      </c>
    </row>
    <row r="47" spans="1:11" x14ac:dyDescent="0.35">
      <c r="A47" s="2" t="s">
        <v>64</v>
      </c>
      <c r="B47" s="2"/>
      <c r="C47" s="2"/>
      <c r="D47" s="2"/>
      <c r="E47" s="2"/>
      <c r="F47" s="3"/>
      <c r="G47" s="3"/>
      <c r="H47" s="3"/>
      <c r="I47" s="3"/>
      <c r="J47" s="3" t="s">
        <v>578</v>
      </c>
      <c r="K47" s="3" t="s">
        <v>579</v>
      </c>
    </row>
    <row r="48" spans="1:11" x14ac:dyDescent="0.35">
      <c r="A48" s="2" t="s">
        <v>64</v>
      </c>
      <c r="B48" s="2"/>
      <c r="C48" s="2"/>
      <c r="D48" s="2"/>
      <c r="E48" s="2"/>
      <c r="F48" s="3"/>
      <c r="G48" s="3"/>
      <c r="H48" s="3"/>
      <c r="I48" s="3"/>
      <c r="J48" s="3" t="s">
        <v>580</v>
      </c>
      <c r="K48" s="3" t="s">
        <v>581</v>
      </c>
    </row>
    <row r="49" spans="1:11" x14ac:dyDescent="0.35">
      <c r="A49" s="2" t="s">
        <v>64</v>
      </c>
      <c r="B49" s="2"/>
      <c r="C49" s="2"/>
      <c r="D49" s="2"/>
      <c r="E49" s="2"/>
      <c r="F49" s="3"/>
      <c r="G49" s="3"/>
      <c r="H49" s="3"/>
      <c r="I49" s="3"/>
      <c r="J49" s="3" t="s">
        <v>582</v>
      </c>
      <c r="K49" s="3" t="s">
        <v>583</v>
      </c>
    </row>
    <row r="50" spans="1:11" x14ac:dyDescent="0.35">
      <c r="A50" s="2" t="s">
        <v>64</v>
      </c>
      <c r="B50" s="2"/>
      <c r="C50" s="2"/>
      <c r="D50" s="2"/>
      <c r="E50" s="2"/>
      <c r="F50" s="3"/>
      <c r="G50" s="3"/>
      <c r="H50" s="3"/>
      <c r="I50" s="3"/>
      <c r="J50" s="3" t="s">
        <v>584</v>
      </c>
      <c r="K50" s="3" t="s">
        <v>585</v>
      </c>
    </row>
    <row r="51" spans="1:11" x14ac:dyDescent="0.35">
      <c r="A51" s="2" t="s">
        <v>64</v>
      </c>
      <c r="B51" s="2"/>
      <c r="C51" s="2"/>
      <c r="D51" s="2"/>
      <c r="E51" s="2"/>
      <c r="F51" s="3"/>
      <c r="G51" s="3"/>
      <c r="H51" s="3"/>
      <c r="I51" s="3"/>
      <c r="J51" s="3" t="s">
        <v>586</v>
      </c>
      <c r="K51" s="3" t="s">
        <v>587</v>
      </c>
    </row>
    <row r="52" spans="1:11" x14ac:dyDescent="0.35">
      <c r="A52" s="2" t="s">
        <v>64</v>
      </c>
      <c r="B52" s="2"/>
      <c r="C52" s="2"/>
      <c r="D52" s="2"/>
      <c r="E52" s="2"/>
      <c r="F52" s="3"/>
      <c r="G52" s="3"/>
      <c r="H52" s="3"/>
      <c r="I52" s="3"/>
      <c r="J52" s="3" t="s">
        <v>588</v>
      </c>
      <c r="K52" s="3" t="s">
        <v>589</v>
      </c>
    </row>
    <row r="53" spans="1:11" x14ac:dyDescent="0.35">
      <c r="A53" s="2" t="s">
        <v>64</v>
      </c>
      <c r="B53" s="2"/>
      <c r="C53" s="2"/>
      <c r="D53" s="2"/>
      <c r="E53" s="2"/>
      <c r="F53" s="3"/>
      <c r="G53" s="3"/>
      <c r="H53" s="3"/>
      <c r="I53" s="3"/>
      <c r="J53" s="3" t="s">
        <v>590</v>
      </c>
      <c r="K53" s="3" t="s">
        <v>591</v>
      </c>
    </row>
    <row r="54" spans="1:11" x14ac:dyDescent="0.35">
      <c r="A54" s="2" t="s">
        <v>64</v>
      </c>
      <c r="B54" s="2"/>
      <c r="C54" s="2"/>
      <c r="D54" s="2"/>
      <c r="E54" s="2"/>
      <c r="F54" s="3"/>
      <c r="G54" s="3"/>
      <c r="H54" s="3"/>
      <c r="I54" s="3"/>
      <c r="J54" s="3" t="s">
        <v>592</v>
      </c>
      <c r="K54" s="3" t="s">
        <v>593</v>
      </c>
    </row>
    <row r="55" spans="1:11" x14ac:dyDescent="0.35">
      <c r="A55" s="2" t="s">
        <v>64</v>
      </c>
      <c r="B55" s="2"/>
      <c r="C55" s="2"/>
      <c r="D55" s="2"/>
      <c r="E55" s="2"/>
      <c r="F55" s="3"/>
      <c r="G55" s="3"/>
      <c r="H55" s="3"/>
      <c r="I55" s="3"/>
      <c r="J55" s="3" t="s">
        <v>594</v>
      </c>
      <c r="K55" s="3" t="s">
        <v>595</v>
      </c>
    </row>
    <row r="56" spans="1:11" x14ac:dyDescent="0.35">
      <c r="A56" s="2" t="s">
        <v>64</v>
      </c>
      <c r="B56" s="2"/>
      <c r="C56" s="2"/>
      <c r="D56" s="2"/>
      <c r="E56" s="2"/>
      <c r="F56" s="3"/>
      <c r="G56" s="3"/>
      <c r="H56" s="3"/>
      <c r="I56" s="3"/>
      <c r="J56" s="3" t="s">
        <v>596</v>
      </c>
      <c r="K56" s="3" t="s">
        <v>597</v>
      </c>
    </row>
    <row r="57" spans="1:11" x14ac:dyDescent="0.35">
      <c r="A57" s="2" t="s">
        <v>64</v>
      </c>
      <c r="B57" s="2"/>
      <c r="C57" s="2"/>
      <c r="D57" s="2"/>
      <c r="E57" s="2"/>
      <c r="F57" s="3"/>
      <c r="G57" s="3"/>
      <c r="H57" s="3"/>
      <c r="I57" s="3"/>
      <c r="J57" s="3" t="s">
        <v>598</v>
      </c>
      <c r="K57" s="3" t="s">
        <v>557</v>
      </c>
    </row>
    <row r="58" spans="1:11" x14ac:dyDescent="0.35">
      <c r="A58" s="2" t="s">
        <v>64</v>
      </c>
      <c r="B58" s="2"/>
      <c r="C58" s="2"/>
      <c r="D58" s="2"/>
      <c r="E58" s="2"/>
      <c r="F58" s="3"/>
      <c r="G58" s="3"/>
      <c r="H58" s="3"/>
      <c r="I58" s="3"/>
      <c r="J58" s="3" t="s">
        <v>599</v>
      </c>
      <c r="K58" s="3" t="s">
        <v>561</v>
      </c>
    </row>
    <row r="59" spans="1:11" x14ac:dyDescent="0.35">
      <c r="A59" s="2" t="s">
        <v>64</v>
      </c>
      <c r="B59" s="2"/>
      <c r="C59" s="2"/>
      <c r="D59" s="2"/>
      <c r="E59" s="2"/>
      <c r="F59" s="3"/>
      <c r="G59" s="3"/>
      <c r="H59" s="3"/>
      <c r="I59" s="3"/>
      <c r="J59" s="3" t="s">
        <v>530</v>
      </c>
      <c r="K59" s="3" t="s">
        <v>531</v>
      </c>
    </row>
    <row r="60" spans="1:11" x14ac:dyDescent="0.35">
      <c r="A60" s="2" t="s">
        <v>162</v>
      </c>
      <c r="B60" s="2"/>
      <c r="C60" s="2"/>
      <c r="D60" s="2"/>
      <c r="E60" s="2"/>
      <c r="F60" s="2" t="s">
        <v>520</v>
      </c>
      <c r="G60" s="2" t="s">
        <v>521</v>
      </c>
      <c r="H60" s="2"/>
      <c r="I60" s="2"/>
      <c r="J60" s="3" t="s">
        <v>522</v>
      </c>
      <c r="K60" s="3" t="s">
        <v>523</v>
      </c>
    </row>
    <row r="61" spans="1:11" x14ac:dyDescent="0.35">
      <c r="A61" s="2" t="s">
        <v>162</v>
      </c>
      <c r="B61" s="2"/>
      <c r="C61" s="2"/>
      <c r="D61" s="2"/>
      <c r="E61" s="2"/>
      <c r="F61" s="2" t="s">
        <v>524</v>
      </c>
      <c r="G61" s="2" t="s">
        <v>525</v>
      </c>
      <c r="H61" s="2"/>
      <c r="I61" s="2"/>
      <c r="J61" s="3" t="s">
        <v>526</v>
      </c>
      <c r="K61" s="3" t="s">
        <v>527</v>
      </c>
    </row>
    <row r="62" spans="1:11" x14ac:dyDescent="0.35">
      <c r="A62" s="2" t="s">
        <v>162</v>
      </c>
      <c r="B62" s="2"/>
      <c r="C62" s="2"/>
      <c r="D62" s="2"/>
      <c r="E62" s="2"/>
      <c r="F62" s="2" t="s">
        <v>528</v>
      </c>
      <c r="G62" s="2" t="s">
        <v>529</v>
      </c>
      <c r="H62" s="2"/>
      <c r="I62" s="2"/>
      <c r="J62" s="3" t="s">
        <v>530</v>
      </c>
      <c r="K62" s="3" t="s">
        <v>531</v>
      </c>
    </row>
    <row r="63" spans="1:11" x14ac:dyDescent="0.35">
      <c r="A63" s="2" t="s">
        <v>162</v>
      </c>
      <c r="B63" s="2"/>
      <c r="C63" s="2"/>
      <c r="D63" s="2"/>
      <c r="E63" s="2"/>
      <c r="F63" s="2" t="s">
        <v>532</v>
      </c>
      <c r="G63" s="2" t="s">
        <v>533</v>
      </c>
      <c r="H63" s="2"/>
      <c r="I63" s="2"/>
      <c r="J63" s="3" t="s">
        <v>534</v>
      </c>
      <c r="K63" s="3" t="s">
        <v>535</v>
      </c>
    </row>
    <row r="64" spans="1:11" x14ac:dyDescent="0.35">
      <c r="A64" s="2" t="s">
        <v>162</v>
      </c>
      <c r="B64" s="2"/>
      <c r="C64" s="2"/>
      <c r="D64" s="2"/>
      <c r="E64" s="2"/>
      <c r="F64" s="2" t="s">
        <v>536</v>
      </c>
      <c r="G64" s="2" t="s">
        <v>537</v>
      </c>
      <c r="H64" s="2"/>
      <c r="I64" s="2"/>
      <c r="J64" s="3" t="s">
        <v>538</v>
      </c>
      <c r="K64" s="3" t="s">
        <v>539</v>
      </c>
    </row>
    <row r="65" spans="1:11" x14ac:dyDescent="0.35">
      <c r="A65" s="2" t="s">
        <v>162</v>
      </c>
      <c r="B65" s="2"/>
      <c r="C65" s="2"/>
      <c r="D65" s="2"/>
      <c r="E65" s="2"/>
      <c r="F65" s="2" t="s">
        <v>540</v>
      </c>
      <c r="G65" s="2" t="s">
        <v>541</v>
      </c>
      <c r="H65" s="2"/>
      <c r="I65" s="2"/>
      <c r="J65" s="3" t="s">
        <v>542</v>
      </c>
      <c r="K65" s="3" t="s">
        <v>543</v>
      </c>
    </row>
    <row r="66" spans="1:11" x14ac:dyDescent="0.35">
      <c r="A66" s="2" t="s">
        <v>162</v>
      </c>
      <c r="B66" s="2"/>
      <c r="C66" s="2"/>
      <c r="D66" s="2"/>
      <c r="E66" s="2"/>
      <c r="F66" s="2" t="s">
        <v>544</v>
      </c>
      <c r="G66" s="2" t="s">
        <v>545</v>
      </c>
      <c r="H66" s="2"/>
      <c r="I66" s="2"/>
      <c r="J66" s="3" t="s">
        <v>546</v>
      </c>
      <c r="K66" s="3" t="s">
        <v>547</v>
      </c>
    </row>
    <row r="67" spans="1:11" x14ac:dyDescent="0.35">
      <c r="A67" s="2" t="s">
        <v>162</v>
      </c>
      <c r="B67" s="2"/>
      <c r="C67" s="2"/>
      <c r="D67" s="2"/>
      <c r="E67" s="2"/>
      <c r="F67" s="2" t="s">
        <v>548</v>
      </c>
      <c r="G67" s="2" t="s">
        <v>549</v>
      </c>
      <c r="H67" s="2"/>
      <c r="I67" s="2"/>
      <c r="J67" s="3" t="s">
        <v>550</v>
      </c>
      <c r="K67" s="3" t="s">
        <v>551</v>
      </c>
    </row>
    <row r="68" spans="1:11" x14ac:dyDescent="0.35">
      <c r="A68" s="2" t="s">
        <v>162</v>
      </c>
      <c r="B68" s="2"/>
      <c r="C68" s="2"/>
      <c r="D68" s="2"/>
      <c r="E68" s="2"/>
      <c r="F68" s="2" t="s">
        <v>552</v>
      </c>
      <c r="G68" s="2" t="s">
        <v>553</v>
      </c>
      <c r="H68" s="2"/>
      <c r="I68" s="2"/>
      <c r="J68" s="3" t="s">
        <v>554</v>
      </c>
      <c r="K68" s="3" t="s">
        <v>555</v>
      </c>
    </row>
    <row r="69" spans="1:11" x14ac:dyDescent="0.35">
      <c r="A69" s="2" t="s">
        <v>162</v>
      </c>
      <c r="B69" s="2"/>
      <c r="C69" s="2"/>
      <c r="D69" s="2"/>
      <c r="E69" s="2"/>
      <c r="F69" s="2" t="s">
        <v>556</v>
      </c>
      <c r="G69" s="2" t="s">
        <v>557</v>
      </c>
      <c r="H69" s="2"/>
      <c r="I69" s="2"/>
      <c r="J69" s="3" t="s">
        <v>558</v>
      </c>
      <c r="K69" s="3" t="s">
        <v>559</v>
      </c>
    </row>
    <row r="70" spans="1:11" x14ac:dyDescent="0.35">
      <c r="A70" s="2" t="s">
        <v>162</v>
      </c>
      <c r="B70" s="2"/>
      <c r="C70" s="2"/>
      <c r="D70" s="2"/>
      <c r="E70" s="2"/>
      <c r="F70" s="2" t="s">
        <v>560</v>
      </c>
      <c r="G70" s="2" t="s">
        <v>561</v>
      </c>
      <c r="H70" s="2"/>
      <c r="I70" s="2"/>
      <c r="J70" s="3" t="s">
        <v>562</v>
      </c>
      <c r="K70" s="3" t="s">
        <v>563</v>
      </c>
    </row>
    <row r="71" spans="1:11" x14ac:dyDescent="0.35">
      <c r="A71" s="2" t="s">
        <v>162</v>
      </c>
      <c r="B71" s="2"/>
      <c r="C71" s="2"/>
      <c r="D71" s="2"/>
      <c r="E71" s="2"/>
      <c r="F71" s="2" t="s">
        <v>564</v>
      </c>
      <c r="G71" s="2" t="s">
        <v>523</v>
      </c>
      <c r="H71" s="2"/>
      <c r="I71" s="2"/>
      <c r="J71" s="3" t="s">
        <v>565</v>
      </c>
      <c r="K71" s="3" t="s">
        <v>566</v>
      </c>
    </row>
    <row r="72" spans="1:11" x14ac:dyDescent="0.35">
      <c r="A72" s="2" t="s">
        <v>162</v>
      </c>
      <c r="B72" s="2"/>
      <c r="C72" s="2"/>
      <c r="D72" s="2"/>
      <c r="E72" s="2"/>
      <c r="F72" s="2" t="s">
        <v>567</v>
      </c>
      <c r="G72" s="2" t="s">
        <v>568</v>
      </c>
      <c r="H72" s="2"/>
      <c r="I72" s="2"/>
      <c r="J72" s="3" t="s">
        <v>569</v>
      </c>
      <c r="K72" s="3" t="s">
        <v>570</v>
      </c>
    </row>
    <row r="73" spans="1:11" x14ac:dyDescent="0.35">
      <c r="A73" s="2" t="s">
        <v>162</v>
      </c>
      <c r="B73" s="2"/>
      <c r="C73" s="2"/>
      <c r="D73" s="2"/>
      <c r="E73" s="2"/>
      <c r="F73" s="2" t="s">
        <v>571</v>
      </c>
      <c r="G73" s="2" t="s">
        <v>531</v>
      </c>
      <c r="H73" s="2"/>
      <c r="I73" s="2"/>
      <c r="J73" s="3" t="s">
        <v>572</v>
      </c>
      <c r="K73" s="3" t="s">
        <v>573</v>
      </c>
    </row>
    <row r="74" spans="1:11" x14ac:dyDescent="0.35">
      <c r="A74" s="2" t="s">
        <v>162</v>
      </c>
      <c r="B74" s="2"/>
      <c r="C74" s="2"/>
      <c r="D74" s="2"/>
      <c r="E74" s="2"/>
      <c r="F74" s="2"/>
      <c r="G74" s="2"/>
      <c r="H74" s="2"/>
      <c r="I74" s="2"/>
      <c r="J74" s="3" t="s">
        <v>574</v>
      </c>
      <c r="K74" s="3" t="s">
        <v>575</v>
      </c>
    </row>
    <row r="75" spans="1:11" x14ac:dyDescent="0.35">
      <c r="A75" s="2" t="s">
        <v>162</v>
      </c>
      <c r="B75" s="2"/>
      <c r="C75" s="2"/>
      <c r="D75" s="2"/>
      <c r="E75" s="2"/>
      <c r="F75" s="5"/>
      <c r="G75" s="5"/>
      <c r="H75" s="5"/>
      <c r="I75" s="5"/>
      <c r="J75" s="3" t="s">
        <v>576</v>
      </c>
      <c r="K75" s="3" t="s">
        <v>577</v>
      </c>
    </row>
    <row r="76" spans="1:11" x14ac:dyDescent="0.35">
      <c r="A76" s="2" t="s">
        <v>162</v>
      </c>
      <c r="B76" s="2"/>
      <c r="C76" s="2"/>
      <c r="D76" s="2"/>
      <c r="E76" s="2"/>
      <c r="F76" s="5"/>
      <c r="G76" s="5"/>
      <c r="H76" s="5"/>
      <c r="I76" s="5"/>
      <c r="J76" s="3" t="s">
        <v>578</v>
      </c>
      <c r="K76" s="3" t="s">
        <v>579</v>
      </c>
    </row>
    <row r="77" spans="1:11" x14ac:dyDescent="0.35">
      <c r="A77" s="2" t="s">
        <v>162</v>
      </c>
      <c r="B77" s="2"/>
      <c r="C77" s="2"/>
      <c r="D77" s="2"/>
      <c r="E77" s="2"/>
      <c r="F77" s="5"/>
      <c r="G77" s="5"/>
      <c r="H77" s="5"/>
      <c r="I77" s="5"/>
      <c r="J77" s="3" t="s">
        <v>580</v>
      </c>
      <c r="K77" s="3" t="s">
        <v>581</v>
      </c>
    </row>
    <row r="78" spans="1:11" x14ac:dyDescent="0.35">
      <c r="A78" s="2" t="s">
        <v>162</v>
      </c>
      <c r="B78" s="2"/>
      <c r="C78" s="2"/>
      <c r="D78" s="2"/>
      <c r="E78" s="2"/>
      <c r="F78" s="5"/>
      <c r="G78" s="5"/>
      <c r="H78" s="5"/>
      <c r="I78" s="5"/>
      <c r="J78" s="3" t="s">
        <v>582</v>
      </c>
      <c r="K78" s="3" t="s">
        <v>583</v>
      </c>
    </row>
    <row r="79" spans="1:11" x14ac:dyDescent="0.35">
      <c r="A79" s="2" t="s">
        <v>162</v>
      </c>
      <c r="B79" s="2"/>
      <c r="C79" s="2"/>
      <c r="D79" s="2"/>
      <c r="E79" s="2"/>
      <c r="F79" s="5"/>
      <c r="G79" s="5"/>
      <c r="H79" s="5"/>
      <c r="I79" s="5"/>
      <c r="J79" s="3" t="s">
        <v>584</v>
      </c>
      <c r="K79" s="3" t="s">
        <v>585</v>
      </c>
    </row>
    <row r="80" spans="1:11" x14ac:dyDescent="0.35">
      <c r="A80" s="2" t="s">
        <v>162</v>
      </c>
      <c r="B80" s="2"/>
      <c r="C80" s="2"/>
      <c r="D80" s="2"/>
      <c r="E80" s="2"/>
      <c r="F80" s="5"/>
      <c r="G80" s="5"/>
      <c r="H80" s="5"/>
      <c r="I80" s="5"/>
      <c r="J80" s="3" t="s">
        <v>586</v>
      </c>
      <c r="K80" s="3" t="s">
        <v>587</v>
      </c>
    </row>
    <row r="81" spans="1:11" x14ac:dyDescent="0.35">
      <c r="A81" s="2" t="s">
        <v>162</v>
      </c>
      <c r="B81" s="2"/>
      <c r="C81" s="2"/>
      <c r="D81" s="2"/>
      <c r="E81" s="2"/>
      <c r="F81" s="5"/>
      <c r="G81" s="5"/>
      <c r="H81" s="5"/>
      <c r="I81" s="5"/>
      <c r="J81" s="3" t="s">
        <v>588</v>
      </c>
      <c r="K81" s="3" t="s">
        <v>589</v>
      </c>
    </row>
    <row r="82" spans="1:11" x14ac:dyDescent="0.35">
      <c r="A82" s="2" t="s">
        <v>162</v>
      </c>
      <c r="B82" s="2"/>
      <c r="C82" s="2"/>
      <c r="D82" s="2"/>
      <c r="E82" s="2"/>
      <c r="F82" s="5"/>
      <c r="G82" s="5"/>
      <c r="H82" s="5"/>
      <c r="I82" s="5"/>
      <c r="J82" s="3" t="s">
        <v>590</v>
      </c>
      <c r="K82" s="3" t="s">
        <v>591</v>
      </c>
    </row>
    <row r="83" spans="1:11" x14ac:dyDescent="0.35">
      <c r="A83" s="2" t="s">
        <v>162</v>
      </c>
      <c r="B83" s="2"/>
      <c r="C83" s="2"/>
      <c r="D83" s="2"/>
      <c r="E83" s="2"/>
      <c r="F83" s="5"/>
      <c r="G83" s="5"/>
      <c r="H83" s="5"/>
      <c r="I83" s="5"/>
      <c r="J83" s="3" t="s">
        <v>592</v>
      </c>
      <c r="K83" s="3" t="s">
        <v>593</v>
      </c>
    </row>
    <row r="84" spans="1:11" x14ac:dyDescent="0.35">
      <c r="A84" s="2" t="s">
        <v>162</v>
      </c>
      <c r="B84" s="2"/>
      <c r="C84" s="2"/>
      <c r="D84" s="2"/>
      <c r="E84" s="2"/>
      <c r="F84" s="5"/>
      <c r="G84" s="5"/>
      <c r="H84" s="5"/>
      <c r="I84" s="5"/>
      <c r="J84" s="3" t="s">
        <v>594</v>
      </c>
      <c r="K84" s="3" t="s">
        <v>595</v>
      </c>
    </row>
    <row r="85" spans="1:11" x14ac:dyDescent="0.35">
      <c r="A85" s="2" t="s">
        <v>162</v>
      </c>
      <c r="B85" s="2"/>
      <c r="C85" s="2"/>
      <c r="D85" s="2"/>
      <c r="E85" s="2"/>
      <c r="F85" s="5"/>
      <c r="G85" s="5"/>
      <c r="H85" s="5"/>
      <c r="I85" s="5"/>
      <c r="J85" s="3" t="s">
        <v>596</v>
      </c>
      <c r="K85" s="3" t="s">
        <v>597</v>
      </c>
    </row>
    <row r="86" spans="1:11" x14ac:dyDescent="0.35">
      <c r="A86" s="2" t="s">
        <v>162</v>
      </c>
      <c r="B86" s="2"/>
      <c r="C86" s="2"/>
      <c r="D86" s="2"/>
      <c r="E86" s="2"/>
      <c r="F86" s="5"/>
      <c r="G86" s="5"/>
      <c r="H86" s="5"/>
      <c r="I86" s="5"/>
      <c r="J86" s="3" t="s">
        <v>598</v>
      </c>
      <c r="K86" s="3" t="s">
        <v>557</v>
      </c>
    </row>
    <row r="87" spans="1:11" x14ac:dyDescent="0.35">
      <c r="A87" s="2" t="s">
        <v>162</v>
      </c>
      <c r="B87" s="2"/>
      <c r="C87" s="2"/>
      <c r="D87" s="2"/>
      <c r="E87" s="2"/>
      <c r="F87" s="5"/>
      <c r="G87" s="5"/>
      <c r="H87" s="5"/>
      <c r="I87" s="5"/>
      <c r="J87" s="3" t="s">
        <v>599</v>
      </c>
      <c r="K87" s="3" t="s">
        <v>561</v>
      </c>
    </row>
    <row r="88" spans="1:11" x14ac:dyDescent="0.35">
      <c r="A88" s="2" t="s">
        <v>162</v>
      </c>
      <c r="B88" s="2"/>
      <c r="C88" s="2"/>
      <c r="D88" s="2"/>
      <c r="E88" s="2"/>
      <c r="F88" s="5"/>
      <c r="G88" s="5"/>
      <c r="H88" s="5"/>
      <c r="I88" s="5"/>
      <c r="J88" s="3" t="s">
        <v>530</v>
      </c>
      <c r="K88" s="3" t="s">
        <v>531</v>
      </c>
    </row>
    <row r="89" spans="1:11" x14ac:dyDescent="0.35">
      <c r="A89" s="2" t="s">
        <v>375</v>
      </c>
      <c r="B89" s="9"/>
      <c r="C89" s="2"/>
      <c r="D89" s="9" t="s">
        <v>600</v>
      </c>
      <c r="E89" s="2" t="s">
        <v>601</v>
      </c>
      <c r="F89" s="9" t="s">
        <v>600</v>
      </c>
      <c r="G89" s="5" t="s">
        <v>602</v>
      </c>
      <c r="H89" s="3" t="s">
        <v>603</v>
      </c>
      <c r="I89" s="5" t="s">
        <v>604</v>
      </c>
      <c r="J89" s="3"/>
      <c r="K89" s="3"/>
    </row>
    <row r="90" spans="1:11" x14ac:dyDescent="0.35">
      <c r="A90" s="2" t="s">
        <v>375</v>
      </c>
      <c r="B90" s="9"/>
      <c r="C90" s="2"/>
      <c r="D90" s="9" t="s">
        <v>605</v>
      </c>
      <c r="E90" s="2" t="s">
        <v>606</v>
      </c>
      <c r="F90" s="9" t="s">
        <v>605</v>
      </c>
      <c r="G90" s="5" t="s">
        <v>607</v>
      </c>
      <c r="H90" s="3" t="s">
        <v>608</v>
      </c>
      <c r="I90" s="5" t="s">
        <v>609</v>
      </c>
      <c r="J90" s="3"/>
      <c r="K90" s="3"/>
    </row>
    <row r="91" spans="1:11" x14ac:dyDescent="0.35">
      <c r="A91" s="2" t="s">
        <v>375</v>
      </c>
      <c r="B91" s="9"/>
      <c r="C91" s="2"/>
      <c r="D91" s="9" t="s">
        <v>610</v>
      </c>
      <c r="E91" s="2" t="s">
        <v>611</v>
      </c>
      <c r="F91" s="9" t="s">
        <v>610</v>
      </c>
      <c r="G91" s="5" t="s">
        <v>612</v>
      </c>
      <c r="H91" s="3" t="s">
        <v>613</v>
      </c>
      <c r="I91" s="5" t="s">
        <v>614</v>
      </c>
      <c r="J91" s="3"/>
      <c r="K91" s="3"/>
    </row>
    <row r="92" spans="1:11" x14ac:dyDescent="0.35">
      <c r="A92" s="2" t="s">
        <v>375</v>
      </c>
      <c r="B92" s="9"/>
      <c r="C92" s="2"/>
      <c r="D92" s="9" t="s">
        <v>615</v>
      </c>
      <c r="E92" s="2" t="s">
        <v>616</v>
      </c>
      <c r="F92" s="9" t="s">
        <v>615</v>
      </c>
      <c r="G92" s="5" t="s">
        <v>617</v>
      </c>
      <c r="H92" s="5"/>
      <c r="I92" s="5"/>
      <c r="J92" s="3"/>
      <c r="K92" s="3"/>
    </row>
    <row r="93" spans="1:11" x14ac:dyDescent="0.35">
      <c r="A93" s="2" t="s">
        <v>375</v>
      </c>
      <c r="B93" s="9"/>
      <c r="C93" s="2"/>
      <c r="D93" s="9" t="s">
        <v>618</v>
      </c>
      <c r="E93" s="2" t="s">
        <v>619</v>
      </c>
      <c r="F93" s="9" t="s">
        <v>618</v>
      </c>
      <c r="G93" s="5" t="s">
        <v>620</v>
      </c>
      <c r="H93" s="5"/>
      <c r="I93" s="5"/>
      <c r="J93" s="3"/>
      <c r="K93" s="3"/>
    </row>
    <row r="94" spans="1:11" x14ac:dyDescent="0.35">
      <c r="A94" s="2" t="s">
        <v>375</v>
      </c>
      <c r="B94" s="9"/>
      <c r="C94" s="2"/>
      <c r="D94" s="9" t="s">
        <v>621</v>
      </c>
      <c r="E94" s="2" t="s">
        <v>622</v>
      </c>
      <c r="F94" s="9" t="s">
        <v>621</v>
      </c>
      <c r="G94" s="5" t="s">
        <v>623</v>
      </c>
      <c r="H94" s="5"/>
      <c r="I94" s="5"/>
      <c r="J94" s="3"/>
      <c r="K94" s="3"/>
    </row>
    <row r="95" spans="1:11" x14ac:dyDescent="0.35">
      <c r="A95" s="2" t="s">
        <v>375</v>
      </c>
      <c r="B95" s="9"/>
      <c r="C95" s="2"/>
      <c r="D95" s="9" t="s">
        <v>624</v>
      </c>
      <c r="E95" s="2" t="s">
        <v>625</v>
      </c>
      <c r="F95" s="9" t="s">
        <v>624</v>
      </c>
      <c r="G95" s="5" t="s">
        <v>626</v>
      </c>
      <c r="H95" s="5"/>
      <c r="I95" s="5"/>
      <c r="J95" s="3"/>
      <c r="K95" s="3"/>
    </row>
    <row r="96" spans="1:11" x14ac:dyDescent="0.35">
      <c r="A96" s="2" t="s">
        <v>375</v>
      </c>
      <c r="B96" s="9"/>
      <c r="C96" s="2"/>
      <c r="D96" s="9"/>
      <c r="E96" s="2"/>
      <c r="F96" s="9" t="s">
        <v>627</v>
      </c>
      <c r="G96" s="5" t="s">
        <v>628</v>
      </c>
      <c r="H96" s="5"/>
      <c r="I96" s="5"/>
      <c r="J96" s="3"/>
      <c r="K96" s="3"/>
    </row>
    <row r="97" spans="1:11" x14ac:dyDescent="0.35">
      <c r="A97" s="2" t="s">
        <v>375</v>
      </c>
      <c r="B97" s="9"/>
      <c r="C97" s="2"/>
      <c r="D97" s="9"/>
      <c r="E97" s="2"/>
      <c r="F97" s="9" t="s">
        <v>629</v>
      </c>
      <c r="G97" s="5" t="s">
        <v>630</v>
      </c>
      <c r="H97" s="5"/>
      <c r="I97" s="5"/>
      <c r="J97" s="3"/>
      <c r="K97" s="3"/>
    </row>
    <row r="98" spans="1:11" x14ac:dyDescent="0.35">
      <c r="A98" s="2" t="s">
        <v>375</v>
      </c>
      <c r="B98" s="9"/>
      <c r="C98" s="2"/>
      <c r="D98" s="9"/>
      <c r="E98" s="2"/>
      <c r="F98" s="9" t="s">
        <v>631</v>
      </c>
      <c r="G98" s="5" t="s">
        <v>632</v>
      </c>
      <c r="H98" s="5"/>
      <c r="I98" s="5"/>
      <c r="J98" s="3"/>
      <c r="K98" s="3"/>
    </row>
    <row r="99" spans="1:11" x14ac:dyDescent="0.35">
      <c r="A99" s="2" t="s">
        <v>375</v>
      </c>
      <c r="B99" s="9"/>
      <c r="C99" s="2"/>
      <c r="D99" s="9"/>
      <c r="E99" s="2"/>
      <c r="F99" s="9" t="s">
        <v>633</v>
      </c>
      <c r="G99" s="5" t="s">
        <v>634</v>
      </c>
      <c r="H99" s="5"/>
      <c r="I99" s="5"/>
      <c r="J99" s="3"/>
      <c r="K99" s="3"/>
    </row>
    <row r="100" spans="1:11" x14ac:dyDescent="0.35">
      <c r="A100" s="2" t="s">
        <v>375</v>
      </c>
      <c r="B100" s="9"/>
      <c r="C100" s="2"/>
      <c r="D100" s="9"/>
      <c r="E100" s="2"/>
      <c r="F100" s="9" t="s">
        <v>635</v>
      </c>
      <c r="G100" s="5" t="s">
        <v>636</v>
      </c>
      <c r="H100" s="5"/>
      <c r="I100" s="5"/>
      <c r="J100" s="3"/>
      <c r="K100" s="3"/>
    </row>
    <row r="101" spans="1:11" x14ac:dyDescent="0.35">
      <c r="A101" s="2" t="s">
        <v>375</v>
      </c>
      <c r="B101" s="9"/>
      <c r="C101" s="2"/>
      <c r="D101" s="9"/>
      <c r="E101" s="2"/>
      <c r="F101" s="9" t="s">
        <v>637</v>
      </c>
      <c r="G101" s="5" t="s">
        <v>638</v>
      </c>
      <c r="H101" s="5"/>
      <c r="I101" s="5"/>
      <c r="J101" s="3"/>
      <c r="K101" s="3"/>
    </row>
    <row r="102" spans="1:11" x14ac:dyDescent="0.35">
      <c r="A102" s="2" t="s">
        <v>375</v>
      </c>
      <c r="B102" s="9"/>
      <c r="C102" s="2"/>
      <c r="D102" s="9"/>
      <c r="E102" s="2"/>
      <c r="F102" s="9" t="s">
        <v>639</v>
      </c>
      <c r="G102" s="5" t="s">
        <v>640</v>
      </c>
      <c r="H102" s="5"/>
      <c r="I102" s="5"/>
      <c r="J102" s="3"/>
      <c r="K102" s="3"/>
    </row>
    <row r="103" spans="1:11" x14ac:dyDescent="0.35">
      <c r="A103" s="2" t="s">
        <v>375</v>
      </c>
      <c r="B103" s="9"/>
      <c r="C103" s="2"/>
      <c r="D103" s="9"/>
      <c r="E103" s="2"/>
      <c r="F103" s="9" t="s">
        <v>641</v>
      </c>
      <c r="G103" s="5" t="s">
        <v>642</v>
      </c>
      <c r="H103" s="5"/>
      <c r="I103" s="5"/>
      <c r="J103" s="3"/>
      <c r="K103" s="3"/>
    </row>
    <row r="104" spans="1:11" x14ac:dyDescent="0.35">
      <c r="A104" s="2" t="s">
        <v>375</v>
      </c>
      <c r="B104" s="9"/>
      <c r="C104" s="2"/>
      <c r="D104" s="9"/>
      <c r="E104" s="2"/>
      <c r="F104" s="9" t="s">
        <v>643</v>
      </c>
      <c r="G104" s="5" t="s">
        <v>644</v>
      </c>
      <c r="H104" s="5"/>
      <c r="I104" s="5"/>
      <c r="J104" s="3"/>
      <c r="K104" s="3"/>
    </row>
    <row r="105" spans="1:11" x14ac:dyDescent="0.35">
      <c r="A105" s="2" t="s">
        <v>375</v>
      </c>
      <c r="B105" s="9"/>
      <c r="C105" s="2"/>
      <c r="D105" s="9"/>
      <c r="E105" s="2"/>
      <c r="F105" s="9" t="s">
        <v>645</v>
      </c>
      <c r="G105" s="5" t="s">
        <v>646</v>
      </c>
      <c r="H105" s="5"/>
      <c r="I105" s="5"/>
      <c r="J105" s="3"/>
      <c r="K105" s="3"/>
    </row>
    <row r="106" spans="1:11" x14ac:dyDescent="0.35">
      <c r="A106" s="2" t="s">
        <v>375</v>
      </c>
      <c r="B106" s="9"/>
      <c r="C106" s="2"/>
      <c r="D106" s="9"/>
      <c r="E106" s="2"/>
      <c r="F106" s="9" t="s">
        <v>647</v>
      </c>
      <c r="G106" s="5" t="s">
        <v>648</v>
      </c>
      <c r="H106" s="5"/>
      <c r="I106" s="5"/>
      <c r="J106" s="3"/>
      <c r="K106" s="3"/>
    </row>
    <row r="107" spans="1:11" x14ac:dyDescent="0.35">
      <c r="A107" s="2" t="s">
        <v>375</v>
      </c>
      <c r="B107" s="9"/>
      <c r="C107" s="2"/>
      <c r="D107" s="9"/>
      <c r="E107" s="2"/>
      <c r="F107" s="9" t="s">
        <v>649</v>
      </c>
      <c r="G107" s="5" t="s">
        <v>622</v>
      </c>
      <c r="H107" s="5"/>
      <c r="I107" s="5"/>
      <c r="J107" s="3"/>
      <c r="K107" s="3"/>
    </row>
    <row r="108" spans="1:11" x14ac:dyDescent="0.35">
      <c r="A108" s="2" t="s">
        <v>375</v>
      </c>
      <c r="B108" s="9"/>
      <c r="C108" s="2"/>
      <c r="D108" s="9"/>
      <c r="E108" s="2"/>
      <c r="F108" s="9" t="s">
        <v>650</v>
      </c>
      <c r="G108" s="5" t="s">
        <v>651</v>
      </c>
      <c r="H108" s="5"/>
      <c r="I108" s="5"/>
      <c r="J108" s="3"/>
      <c r="K108" s="3"/>
    </row>
    <row r="109" spans="1:11" x14ac:dyDescent="0.35">
      <c r="F109" s="4"/>
      <c r="G109" s="4"/>
      <c r="H109" s="4"/>
      <c r="I109" s="4"/>
      <c r="J109" s="4"/>
      <c r="K109" s="4"/>
    </row>
    <row r="110" spans="1:11" x14ac:dyDescent="0.35">
      <c r="F110" s="4"/>
      <c r="G110" s="4"/>
      <c r="H110" s="4"/>
      <c r="I110" s="4"/>
      <c r="J110" s="4"/>
      <c r="K110" s="4"/>
    </row>
    <row r="111" spans="1:11" x14ac:dyDescent="0.35">
      <c r="F111" s="4"/>
      <c r="G111" s="4"/>
      <c r="H111" s="4"/>
      <c r="I111" s="4"/>
      <c r="J111" s="4"/>
      <c r="K111" s="4"/>
    </row>
    <row r="112" spans="1:11" x14ac:dyDescent="0.35">
      <c r="F112" s="4"/>
      <c r="G112" s="4"/>
      <c r="H112" s="4"/>
      <c r="I112" s="4"/>
      <c r="J112" s="4"/>
      <c r="K112" s="4"/>
    </row>
    <row r="113" spans="6:11" x14ac:dyDescent="0.35">
      <c r="F113" s="4"/>
      <c r="G113" s="4"/>
      <c r="H113" s="4"/>
      <c r="I113" s="4"/>
      <c r="J113" s="4"/>
      <c r="K113" s="4"/>
    </row>
    <row r="114" spans="6:11" x14ac:dyDescent="0.35">
      <c r="F114" s="4"/>
      <c r="G114" s="4"/>
      <c r="H114" s="4"/>
      <c r="I114" s="4"/>
      <c r="J114" s="4"/>
      <c r="K114" s="4"/>
    </row>
    <row r="115" spans="6:11" x14ac:dyDescent="0.35">
      <c r="F115" s="4"/>
      <c r="G115" s="4"/>
      <c r="H115" s="4"/>
      <c r="I115" s="4"/>
      <c r="J115" s="4"/>
      <c r="K115" s="4"/>
    </row>
    <row r="116" spans="6:11" x14ac:dyDescent="0.35">
      <c r="F116" s="4"/>
      <c r="G116" s="4"/>
      <c r="H116" s="4"/>
      <c r="I116" s="4"/>
      <c r="J116" s="4"/>
      <c r="K116" s="4"/>
    </row>
    <row r="117" spans="6:11" x14ac:dyDescent="0.35">
      <c r="F117" s="4"/>
      <c r="G117" s="4"/>
      <c r="H117" s="4"/>
      <c r="I117" s="4"/>
      <c r="J117" s="4"/>
      <c r="K117" s="4"/>
    </row>
    <row r="118" spans="6:11" x14ac:dyDescent="0.35">
      <c r="F118" s="4"/>
      <c r="G118" s="4"/>
      <c r="H118" s="4"/>
      <c r="I118" s="4"/>
      <c r="J118" s="4"/>
      <c r="K118" s="4"/>
    </row>
    <row r="119" spans="6:11" x14ac:dyDescent="0.35">
      <c r="F119" s="4"/>
      <c r="G119" s="4"/>
      <c r="H119" s="4"/>
      <c r="I119" s="4"/>
      <c r="J119" s="4"/>
      <c r="K119" s="4"/>
    </row>
    <row r="120" spans="6:11" x14ac:dyDescent="0.35">
      <c r="F120" s="4"/>
      <c r="G120" s="4"/>
      <c r="H120" s="4"/>
      <c r="I120" s="4"/>
      <c r="J120" s="4"/>
      <c r="K120" s="4"/>
    </row>
    <row r="121" spans="6:11" x14ac:dyDescent="0.35">
      <c r="F121" s="4"/>
      <c r="G121" s="4"/>
      <c r="H121" s="4"/>
      <c r="I121" s="4"/>
      <c r="J121" s="4"/>
      <c r="K121" s="4"/>
    </row>
    <row r="122" spans="6:11" x14ac:dyDescent="0.35">
      <c r="F122" s="4"/>
      <c r="G122" s="4"/>
      <c r="H122" s="4"/>
      <c r="I122" s="4"/>
      <c r="J122" s="4"/>
      <c r="K122" s="4"/>
    </row>
    <row r="123" spans="6:11" x14ac:dyDescent="0.35">
      <c r="F123" s="4"/>
      <c r="G123" s="4"/>
      <c r="H123" s="4"/>
      <c r="I123" s="4"/>
      <c r="J123" s="4"/>
      <c r="K123" s="4"/>
    </row>
    <row r="124" spans="6:11" x14ac:dyDescent="0.35">
      <c r="F124" s="4"/>
      <c r="G124" s="4"/>
      <c r="H124" s="4"/>
      <c r="I124" s="4"/>
      <c r="J124" s="4"/>
      <c r="K124" s="4"/>
    </row>
    <row r="125" spans="6:11" x14ac:dyDescent="0.35">
      <c r="F125" s="4"/>
      <c r="G125" s="4"/>
      <c r="H125" s="4"/>
      <c r="I125" s="4"/>
      <c r="J125" s="4"/>
      <c r="K125" s="4"/>
    </row>
    <row r="126" spans="6:11" x14ac:dyDescent="0.35">
      <c r="F126" s="4"/>
      <c r="G126" s="4"/>
      <c r="H126" s="4"/>
      <c r="I126" s="4"/>
      <c r="J126" s="4"/>
      <c r="K126" s="4"/>
    </row>
    <row r="127" spans="6:11" x14ac:dyDescent="0.35">
      <c r="F127" s="4"/>
      <c r="G127" s="4"/>
      <c r="H127" s="4"/>
      <c r="I127" s="4"/>
      <c r="J127" s="4"/>
      <c r="K127" s="4"/>
    </row>
    <row r="128" spans="6:11" x14ac:dyDescent="0.35">
      <c r="F128" s="4"/>
      <c r="G128" s="4"/>
      <c r="H128" s="4"/>
      <c r="I128" s="4"/>
      <c r="J128" s="4"/>
      <c r="K128" s="4"/>
    </row>
    <row r="129" spans="6:11" x14ac:dyDescent="0.35">
      <c r="F129" s="4"/>
      <c r="G129" s="4"/>
      <c r="H129" s="4"/>
      <c r="I129" s="4"/>
      <c r="J129" s="4"/>
      <c r="K129" s="4"/>
    </row>
    <row r="130" spans="6:11" x14ac:dyDescent="0.35">
      <c r="F130" s="4"/>
      <c r="G130" s="4"/>
      <c r="H130" s="4"/>
      <c r="I130" s="4"/>
      <c r="J130" s="4"/>
      <c r="K130" s="4"/>
    </row>
    <row r="131" spans="6:11" x14ac:dyDescent="0.35">
      <c r="F131" s="4"/>
      <c r="G131" s="4"/>
      <c r="H131" s="4"/>
      <c r="I131" s="4"/>
      <c r="J131" s="4"/>
      <c r="K131" s="4"/>
    </row>
    <row r="132" spans="6:11" x14ac:dyDescent="0.35">
      <c r="F132" s="4"/>
      <c r="G132" s="4"/>
      <c r="H132" s="4"/>
      <c r="I132" s="4"/>
      <c r="J132" s="4"/>
      <c r="K132" s="4"/>
    </row>
    <row r="133" spans="6:11" x14ac:dyDescent="0.35">
      <c r="F133" s="4"/>
      <c r="G133" s="4"/>
      <c r="H133" s="4"/>
      <c r="I133" s="4"/>
      <c r="J133" s="4"/>
      <c r="K133" s="4"/>
    </row>
    <row r="134" spans="6:11" x14ac:dyDescent="0.35">
      <c r="F134" s="4"/>
      <c r="G134" s="4"/>
      <c r="H134" s="4"/>
      <c r="I134" s="4"/>
      <c r="J134" s="4"/>
      <c r="K134" s="4"/>
    </row>
    <row r="135" spans="6:11" x14ac:dyDescent="0.35">
      <c r="F135" s="4"/>
      <c r="G135" s="4"/>
      <c r="H135" s="4"/>
      <c r="I135" s="4"/>
      <c r="J135" s="4"/>
      <c r="K135" s="4"/>
    </row>
    <row r="136" spans="6:11" x14ac:dyDescent="0.35">
      <c r="F136" s="4"/>
      <c r="G136" s="4"/>
      <c r="H136" s="4"/>
      <c r="I136" s="4"/>
      <c r="J136" s="4"/>
      <c r="K136" s="4"/>
    </row>
    <row r="137" spans="6:11" x14ac:dyDescent="0.35">
      <c r="F137" s="4"/>
      <c r="G137" s="4"/>
      <c r="H137" s="4"/>
      <c r="I137" s="4"/>
      <c r="J137" s="4"/>
      <c r="K137" s="4"/>
    </row>
    <row r="138" spans="6:11" x14ac:dyDescent="0.35">
      <c r="F138" s="4"/>
      <c r="G138" s="4"/>
      <c r="H138" s="4"/>
      <c r="I138" s="4"/>
      <c r="J138" s="4"/>
      <c r="K138" s="4"/>
    </row>
    <row r="139" spans="6:11" x14ac:dyDescent="0.35">
      <c r="F139" s="4"/>
      <c r="G139" s="4"/>
      <c r="H139" s="4"/>
      <c r="I139" s="4"/>
      <c r="J139" s="4"/>
      <c r="K139" s="4"/>
    </row>
    <row r="140" spans="6:11" x14ac:dyDescent="0.35">
      <c r="F140" s="4"/>
      <c r="G140" s="4"/>
      <c r="H140" s="4"/>
      <c r="I140" s="4"/>
      <c r="J140" s="4"/>
      <c r="K140" s="4"/>
    </row>
    <row r="141" spans="6:11" x14ac:dyDescent="0.35">
      <c r="F141" s="4"/>
      <c r="G141" s="4"/>
      <c r="H141" s="4"/>
      <c r="I141" s="4"/>
      <c r="J141" s="4"/>
      <c r="K141" s="4"/>
    </row>
    <row r="142" spans="6:11" x14ac:dyDescent="0.35">
      <c r="F142" s="4"/>
      <c r="G142" s="4"/>
      <c r="H142" s="4"/>
      <c r="I142" s="4"/>
      <c r="J142" s="4"/>
      <c r="K142" s="4"/>
    </row>
    <row r="143" spans="6:11" x14ac:dyDescent="0.35">
      <c r="F143" s="4"/>
      <c r="G143" s="4"/>
      <c r="H143" s="4"/>
      <c r="I143" s="4"/>
      <c r="J143" s="4"/>
      <c r="K143" s="4"/>
    </row>
    <row r="144" spans="6:11" x14ac:dyDescent="0.35">
      <c r="F144" s="4"/>
      <c r="G144" s="4"/>
      <c r="H144" s="4"/>
      <c r="I144" s="4"/>
      <c r="J144" s="4"/>
      <c r="K144" s="4"/>
    </row>
    <row r="145" spans="6:11" x14ac:dyDescent="0.35">
      <c r="F145" s="4"/>
      <c r="G145" s="4"/>
      <c r="H145" s="4"/>
      <c r="I145" s="4"/>
      <c r="J145" s="4"/>
      <c r="K145" s="4"/>
    </row>
    <row r="146" spans="6:11" x14ac:dyDescent="0.35">
      <c r="F146" s="4"/>
      <c r="G146" s="4"/>
      <c r="H146" s="4"/>
      <c r="I146" s="4"/>
      <c r="J146" s="4"/>
      <c r="K146" s="4"/>
    </row>
    <row r="147" spans="6:11" x14ac:dyDescent="0.35">
      <c r="F147" s="4"/>
      <c r="G147" s="4"/>
      <c r="H147" s="4"/>
      <c r="I147" s="4"/>
      <c r="J147" s="4"/>
      <c r="K147" s="4"/>
    </row>
    <row r="148" spans="6:11" x14ac:dyDescent="0.35">
      <c r="F148" s="4"/>
      <c r="G148" s="4"/>
      <c r="H148" s="4"/>
      <c r="I148" s="4"/>
      <c r="J148" s="4"/>
      <c r="K148" s="4"/>
    </row>
    <row r="149" spans="6:11" x14ac:dyDescent="0.35">
      <c r="F149" s="4"/>
      <c r="G149" s="4"/>
      <c r="H149" s="4"/>
      <c r="I149" s="4"/>
      <c r="J149" s="4"/>
      <c r="K149" s="4"/>
    </row>
    <row r="150" spans="6:11" x14ac:dyDescent="0.35">
      <c r="F150" s="4"/>
      <c r="G150" s="4"/>
      <c r="H150" s="4"/>
      <c r="I150" s="4"/>
      <c r="J150" s="4"/>
      <c r="K150" s="4"/>
    </row>
    <row r="151" spans="6:11" x14ac:dyDescent="0.35">
      <c r="F151" s="4"/>
      <c r="G151" s="4"/>
      <c r="H151" s="4"/>
      <c r="I151" s="4"/>
      <c r="J151" s="4"/>
      <c r="K151" s="4"/>
    </row>
    <row r="152" spans="6:11" x14ac:dyDescent="0.35">
      <c r="F152" s="4"/>
      <c r="G152" s="4"/>
      <c r="H152" s="4"/>
      <c r="I152" s="4"/>
      <c r="J152" s="4"/>
      <c r="K152" s="4"/>
    </row>
    <row r="153" spans="6:11" x14ac:dyDescent="0.35">
      <c r="F153" s="4"/>
      <c r="G153" s="4"/>
      <c r="H153" s="4"/>
      <c r="I153" s="4"/>
      <c r="J153" s="4"/>
      <c r="K153" s="4"/>
    </row>
    <row r="154" spans="6:11" x14ac:dyDescent="0.35">
      <c r="F154" s="4"/>
      <c r="G154" s="4"/>
      <c r="H154" s="4"/>
      <c r="I154" s="4"/>
      <c r="J154" s="4"/>
      <c r="K154" s="4"/>
    </row>
    <row r="155" spans="6:11" x14ac:dyDescent="0.35">
      <c r="F155" s="4"/>
      <c r="G155" s="4"/>
      <c r="H155" s="4"/>
      <c r="I155" s="4"/>
      <c r="J155" s="4"/>
      <c r="K155" s="4"/>
    </row>
    <row r="156" spans="6:11" x14ac:dyDescent="0.35">
      <c r="F156" s="4"/>
      <c r="G156" s="4"/>
      <c r="H156" s="4"/>
      <c r="I156" s="4"/>
      <c r="J156" s="4"/>
      <c r="K156" s="4"/>
    </row>
    <row r="157" spans="6:11" x14ac:dyDescent="0.35">
      <c r="F157" s="4"/>
      <c r="G157" s="4"/>
      <c r="H157" s="4"/>
      <c r="I157" s="4"/>
      <c r="J157" s="4"/>
      <c r="K157" s="4"/>
    </row>
    <row r="158" spans="6:11" x14ac:dyDescent="0.35">
      <c r="F158" s="4"/>
      <c r="G158" s="4"/>
      <c r="H158" s="4"/>
      <c r="I158" s="4"/>
      <c r="J158" s="4"/>
      <c r="K158" s="4"/>
    </row>
    <row r="159" spans="6:11" x14ac:dyDescent="0.35">
      <c r="F159" s="4"/>
      <c r="G159" s="4"/>
      <c r="H159" s="4"/>
      <c r="I159" s="4"/>
      <c r="J159" s="4"/>
      <c r="K159" s="4"/>
    </row>
    <row r="160" spans="6:11" x14ac:dyDescent="0.35">
      <c r="F160" s="4"/>
      <c r="G160" s="4"/>
      <c r="H160" s="4"/>
      <c r="I160" s="4"/>
      <c r="J160" s="4"/>
      <c r="K160" s="4"/>
    </row>
    <row r="161" spans="6:11" x14ac:dyDescent="0.35">
      <c r="F161" s="4"/>
      <c r="G161" s="4"/>
      <c r="H161" s="4"/>
      <c r="I161" s="4"/>
      <c r="J161" s="4"/>
      <c r="K161" s="4"/>
    </row>
    <row r="162" spans="6:11" x14ac:dyDescent="0.35">
      <c r="F162" s="4"/>
      <c r="G162" s="4"/>
      <c r="H162" s="4"/>
      <c r="I162" s="4"/>
      <c r="J162" s="4"/>
      <c r="K162" s="4"/>
    </row>
    <row r="163" spans="6:11" x14ac:dyDescent="0.35">
      <c r="F163" s="4"/>
      <c r="G163" s="4"/>
      <c r="H163" s="4"/>
      <c r="I163" s="4"/>
      <c r="J163" s="4"/>
      <c r="K163" s="4"/>
    </row>
    <row r="164" spans="6:11" x14ac:dyDescent="0.35">
      <c r="F164" s="4"/>
      <c r="G164" s="4"/>
      <c r="H164" s="4"/>
      <c r="I164" s="4"/>
      <c r="J164" s="4"/>
      <c r="K164" s="4"/>
    </row>
    <row r="165" spans="6:11" x14ac:dyDescent="0.35">
      <c r="F165" s="4"/>
      <c r="G165" s="4"/>
      <c r="H165" s="4"/>
      <c r="I165" s="4"/>
      <c r="J165" s="4"/>
      <c r="K165" s="4"/>
    </row>
    <row r="166" spans="6:11" x14ac:dyDescent="0.35">
      <c r="F166" s="4"/>
      <c r="G166" s="4"/>
      <c r="H166" s="4"/>
      <c r="I166" s="4"/>
      <c r="J166" s="4"/>
      <c r="K166" s="4"/>
    </row>
    <row r="167" spans="6:11" x14ac:dyDescent="0.35">
      <c r="F167" s="4"/>
      <c r="G167" s="4"/>
      <c r="H167" s="4"/>
      <c r="I167" s="4"/>
      <c r="J167" s="4"/>
      <c r="K167" s="4"/>
    </row>
    <row r="168" spans="6:11" x14ac:dyDescent="0.35">
      <c r="F168" s="4"/>
      <c r="G168" s="4"/>
      <c r="H168" s="4"/>
      <c r="I168" s="4"/>
      <c r="J168" s="4"/>
      <c r="K168" s="4"/>
    </row>
    <row r="169" spans="6:11" x14ac:dyDescent="0.35">
      <c r="F169" s="4"/>
      <c r="G169" s="4"/>
      <c r="H169" s="4"/>
      <c r="I169" s="4"/>
      <c r="J169" s="4"/>
      <c r="K169" s="4"/>
    </row>
    <row r="170" spans="6:11" x14ac:dyDescent="0.35">
      <c r="F170" s="4"/>
      <c r="G170" s="4"/>
      <c r="H170" s="4"/>
      <c r="I170" s="4"/>
      <c r="J170" s="4"/>
      <c r="K170" s="4"/>
    </row>
    <row r="171" spans="6:11" x14ac:dyDescent="0.35">
      <c r="F171" s="4"/>
      <c r="G171" s="4"/>
      <c r="H171" s="4"/>
      <c r="I171" s="4"/>
      <c r="J171" s="4"/>
      <c r="K171" s="4"/>
    </row>
    <row r="172" spans="6:11" x14ac:dyDescent="0.35">
      <c r="F172" s="4"/>
      <c r="G172" s="4"/>
      <c r="H172" s="4"/>
      <c r="I172" s="4"/>
      <c r="J172" s="4"/>
      <c r="K172" s="4"/>
    </row>
    <row r="173" spans="6:11" x14ac:dyDescent="0.35">
      <c r="F173" s="4"/>
      <c r="G173" s="4"/>
      <c r="H173" s="4"/>
      <c r="I173" s="4"/>
      <c r="J173" s="4"/>
      <c r="K173" s="4"/>
    </row>
    <row r="174" spans="6:11" x14ac:dyDescent="0.35">
      <c r="F174" s="4"/>
      <c r="G174" s="4"/>
      <c r="H174" s="4"/>
      <c r="I174" s="4"/>
      <c r="J174" s="4"/>
      <c r="K174" s="4"/>
    </row>
    <row r="175" spans="6:11" x14ac:dyDescent="0.35">
      <c r="F175" s="4"/>
      <c r="G175" s="4"/>
      <c r="H175" s="4"/>
      <c r="I175" s="4"/>
      <c r="J175" s="4"/>
      <c r="K175" s="4"/>
    </row>
    <row r="176" spans="6:11" x14ac:dyDescent="0.35">
      <c r="F176" s="4"/>
      <c r="G176" s="4"/>
      <c r="H176" s="4"/>
      <c r="I176" s="4"/>
      <c r="J176" s="4"/>
      <c r="K176" s="4"/>
    </row>
    <row r="177" spans="6:11" x14ac:dyDescent="0.35">
      <c r="F177" s="4"/>
      <c r="G177" s="4"/>
      <c r="H177" s="4"/>
      <c r="I177" s="4"/>
      <c r="J177" s="4"/>
      <c r="K177" s="4"/>
    </row>
    <row r="178" spans="6:11" x14ac:dyDescent="0.35">
      <c r="F178" s="4"/>
      <c r="G178" s="4"/>
      <c r="H178" s="4"/>
      <c r="I178" s="4"/>
      <c r="J178" s="4"/>
      <c r="K178" s="4"/>
    </row>
    <row r="179" spans="6:11" x14ac:dyDescent="0.35">
      <c r="F179" s="4"/>
      <c r="G179" s="4"/>
      <c r="H179" s="4"/>
      <c r="I179" s="4"/>
      <c r="J179" s="4"/>
      <c r="K179" s="4"/>
    </row>
    <row r="180" spans="6:11" x14ac:dyDescent="0.35">
      <c r="F180" s="4"/>
      <c r="G180" s="4"/>
      <c r="H180" s="4"/>
      <c r="I180" s="4"/>
      <c r="J180" s="4"/>
      <c r="K180" s="4"/>
    </row>
    <row r="181" spans="6:11" x14ac:dyDescent="0.35">
      <c r="F181" s="4"/>
      <c r="G181" s="4"/>
      <c r="H181" s="4"/>
      <c r="I181" s="4"/>
      <c r="J181" s="4"/>
      <c r="K181" s="4"/>
    </row>
    <row r="182" spans="6:11" x14ac:dyDescent="0.35">
      <c r="F182" s="4"/>
      <c r="G182" s="4"/>
      <c r="H182" s="4"/>
      <c r="I182" s="4"/>
      <c r="J182" s="4"/>
      <c r="K182" s="4"/>
    </row>
    <row r="183" spans="6:11" x14ac:dyDescent="0.35">
      <c r="F183" s="4"/>
      <c r="G183" s="4"/>
      <c r="H183" s="4"/>
      <c r="I183" s="4"/>
      <c r="J183" s="4"/>
      <c r="K183" s="4"/>
    </row>
    <row r="184" spans="6:11" x14ac:dyDescent="0.35">
      <c r="F184" s="4"/>
      <c r="G184" s="4"/>
      <c r="H184" s="4"/>
      <c r="I184" s="4"/>
      <c r="J184" s="4"/>
      <c r="K184" s="4"/>
    </row>
    <row r="185" spans="6:11" x14ac:dyDescent="0.35">
      <c r="F185" s="4"/>
      <c r="G185" s="4"/>
      <c r="H185" s="4"/>
      <c r="I185" s="4"/>
      <c r="J185" s="4"/>
      <c r="K185" s="4"/>
    </row>
    <row r="186" spans="6:11" x14ac:dyDescent="0.35">
      <c r="F186" s="4"/>
      <c r="G186" s="4"/>
      <c r="H186" s="4"/>
      <c r="I186" s="4"/>
      <c r="J186" s="4"/>
      <c r="K186" s="4"/>
    </row>
    <row r="187" spans="6:11" x14ac:dyDescent="0.35">
      <c r="F187" s="4"/>
      <c r="G187" s="4"/>
      <c r="H187" s="4"/>
      <c r="I187" s="4"/>
      <c r="J187" s="4"/>
      <c r="K187" s="4"/>
    </row>
    <row r="188" spans="6:11" x14ac:dyDescent="0.35">
      <c r="F188" s="4"/>
      <c r="G188" s="4"/>
      <c r="H188" s="4"/>
      <c r="I188" s="4"/>
      <c r="J188" s="4"/>
      <c r="K188" s="4"/>
    </row>
    <row r="189" spans="6:11" x14ac:dyDescent="0.35">
      <c r="F189" s="4"/>
      <c r="G189" s="4"/>
      <c r="H189" s="4"/>
      <c r="I189" s="4"/>
      <c r="J189" s="4"/>
      <c r="K189" s="4"/>
    </row>
    <row r="190" spans="6:11" x14ac:dyDescent="0.35">
      <c r="F190" s="4"/>
      <c r="G190" s="4"/>
      <c r="H190" s="4"/>
      <c r="I190" s="4"/>
      <c r="J190" s="4"/>
      <c r="K190" s="4"/>
    </row>
    <row r="191" spans="6:11" x14ac:dyDescent="0.35">
      <c r="F191" s="4"/>
      <c r="G191" s="4"/>
      <c r="H191" s="4"/>
      <c r="I191" s="4"/>
      <c r="J191" s="4"/>
      <c r="K191" s="4"/>
    </row>
    <row r="192" spans="6:11" x14ac:dyDescent="0.35">
      <c r="F192" s="4"/>
      <c r="G192" s="4"/>
      <c r="H192" s="4"/>
      <c r="I192" s="4"/>
      <c r="J192" s="4"/>
      <c r="K192" s="4"/>
    </row>
    <row r="193" spans="6:11" x14ac:dyDescent="0.35">
      <c r="F193" s="4"/>
      <c r="G193" s="4"/>
      <c r="H193" s="4"/>
      <c r="I193" s="4"/>
      <c r="J193" s="4"/>
      <c r="K193" s="4"/>
    </row>
    <row r="194" spans="6:11" x14ac:dyDescent="0.35">
      <c r="F194" s="4"/>
      <c r="G194" s="4"/>
      <c r="H194" s="4"/>
      <c r="I194" s="4"/>
      <c r="J194" s="4"/>
      <c r="K194" s="4"/>
    </row>
    <row r="195" spans="6:11" x14ac:dyDescent="0.35">
      <c r="F195" s="4"/>
      <c r="G195" s="4"/>
      <c r="H195" s="4"/>
      <c r="I195" s="4"/>
      <c r="J195" s="4"/>
      <c r="K195" s="4"/>
    </row>
    <row r="196" spans="6:11" x14ac:dyDescent="0.35">
      <c r="F196" s="4"/>
      <c r="G196" s="4"/>
      <c r="H196" s="4"/>
      <c r="I196" s="4"/>
      <c r="J196" s="4"/>
      <c r="K196" s="4"/>
    </row>
    <row r="197" spans="6:11" x14ac:dyDescent="0.35">
      <c r="F197" s="4"/>
      <c r="G197" s="4"/>
      <c r="H197" s="4"/>
      <c r="I197" s="4"/>
      <c r="J197" s="4"/>
      <c r="K197" s="4"/>
    </row>
    <row r="198" spans="6:11" x14ac:dyDescent="0.35">
      <c r="F198" s="4"/>
      <c r="G198" s="4"/>
      <c r="H198" s="4"/>
      <c r="I198" s="4"/>
      <c r="J198" s="4"/>
      <c r="K198" s="4"/>
    </row>
    <row r="199" spans="6:11" x14ac:dyDescent="0.35">
      <c r="F199" s="4"/>
      <c r="G199" s="4"/>
      <c r="H199" s="4"/>
      <c r="I199" s="4"/>
      <c r="J199" s="4"/>
      <c r="K199" s="4"/>
    </row>
    <row r="200" spans="6:11" x14ac:dyDescent="0.35">
      <c r="F200" s="4"/>
      <c r="G200" s="4"/>
      <c r="H200" s="4"/>
      <c r="I200" s="4"/>
      <c r="J200" s="4"/>
      <c r="K200" s="4"/>
    </row>
    <row r="201" spans="6:11" x14ac:dyDescent="0.35">
      <c r="F201" s="4"/>
      <c r="G201" s="4"/>
      <c r="H201" s="4"/>
      <c r="I201" s="4"/>
      <c r="J201" s="4"/>
      <c r="K201" s="4"/>
    </row>
    <row r="202" spans="6:11" x14ac:dyDescent="0.35">
      <c r="F202" s="4"/>
      <c r="G202" s="4"/>
      <c r="H202" s="4"/>
      <c r="I202" s="4"/>
      <c r="J202" s="4"/>
      <c r="K202" s="4"/>
    </row>
    <row r="203" spans="6:11" x14ac:dyDescent="0.35">
      <c r="F203" s="4"/>
      <c r="G203" s="4"/>
      <c r="H203" s="4"/>
      <c r="I203" s="4"/>
      <c r="J203" s="4"/>
      <c r="K203" s="4"/>
    </row>
    <row r="204" spans="6:11" x14ac:dyDescent="0.35">
      <c r="F204" s="4"/>
      <c r="G204" s="4"/>
      <c r="H204" s="4"/>
      <c r="I204" s="4"/>
      <c r="J204" s="4"/>
      <c r="K204" s="4"/>
    </row>
    <row r="205" spans="6:11" x14ac:dyDescent="0.35">
      <c r="F205" s="4"/>
      <c r="G205" s="4"/>
      <c r="H205" s="4"/>
      <c r="I205" s="4"/>
      <c r="J205" s="4"/>
      <c r="K205" s="4"/>
    </row>
    <row r="206" spans="6:11" x14ac:dyDescent="0.35">
      <c r="F206" s="4"/>
      <c r="G206" s="4"/>
      <c r="H206" s="4"/>
      <c r="I206" s="4"/>
      <c r="J206" s="4"/>
      <c r="K206" s="4"/>
    </row>
    <row r="207" spans="6:11" x14ac:dyDescent="0.35">
      <c r="F207" s="4"/>
      <c r="G207" s="4"/>
      <c r="H207" s="4"/>
      <c r="I207" s="4"/>
      <c r="J207" s="4"/>
      <c r="K207" s="4"/>
    </row>
    <row r="208" spans="6:11" x14ac:dyDescent="0.35">
      <c r="F208" s="4"/>
      <c r="G208" s="4"/>
      <c r="H208" s="4"/>
      <c r="I208" s="4"/>
      <c r="J208" s="4"/>
      <c r="K208" s="4"/>
    </row>
    <row r="209" spans="6:11" x14ac:dyDescent="0.35">
      <c r="F209" s="4"/>
      <c r="G209" s="4"/>
      <c r="H209" s="4"/>
      <c r="I209" s="4"/>
      <c r="J209" s="4"/>
      <c r="K209" s="4"/>
    </row>
    <row r="210" spans="6:11" x14ac:dyDescent="0.35">
      <c r="F210" s="4"/>
      <c r="G210" s="4"/>
      <c r="H210" s="4"/>
      <c r="I210" s="4"/>
      <c r="J210" s="4"/>
      <c r="K210" s="4"/>
    </row>
    <row r="211" spans="6:11" x14ac:dyDescent="0.35">
      <c r="F211" s="4"/>
      <c r="G211" s="4"/>
      <c r="H211" s="4"/>
      <c r="I211" s="4"/>
      <c r="J211" s="4"/>
      <c r="K211" s="4"/>
    </row>
    <row r="212" spans="6:11" x14ac:dyDescent="0.35">
      <c r="F212" s="4"/>
      <c r="G212" s="4"/>
      <c r="H212" s="4"/>
      <c r="I212" s="4"/>
      <c r="J212" s="4"/>
      <c r="K212" s="4"/>
    </row>
    <row r="213" spans="6:11" x14ac:dyDescent="0.35">
      <c r="F213" s="4"/>
      <c r="G213" s="4"/>
      <c r="H213" s="4"/>
      <c r="I213" s="4"/>
      <c r="J213" s="4"/>
      <c r="K213" s="4"/>
    </row>
    <row r="214" spans="6:11" x14ac:dyDescent="0.35">
      <c r="F214" s="4"/>
      <c r="G214" s="4"/>
      <c r="H214" s="4"/>
      <c r="I214" s="4"/>
      <c r="J214" s="4"/>
      <c r="K214" s="4"/>
    </row>
    <row r="215" spans="6:11" x14ac:dyDescent="0.35">
      <c r="F215" s="4"/>
      <c r="G215" s="4"/>
      <c r="H215" s="4"/>
      <c r="I215" s="4"/>
      <c r="J215" s="4"/>
      <c r="K215" s="4"/>
    </row>
    <row r="216" spans="6:11" x14ac:dyDescent="0.35">
      <c r="F216" s="4"/>
      <c r="G216" s="4"/>
      <c r="H216" s="4"/>
      <c r="I216" s="4"/>
      <c r="J216" s="4"/>
      <c r="K216" s="4"/>
    </row>
    <row r="217" spans="6:11" x14ac:dyDescent="0.35">
      <c r="F217" s="4"/>
      <c r="G217" s="4"/>
      <c r="H217" s="4"/>
      <c r="I217" s="4"/>
      <c r="J217" s="4"/>
      <c r="K217" s="4"/>
    </row>
    <row r="218" spans="6:11" x14ac:dyDescent="0.35">
      <c r="F218" s="4"/>
      <c r="G218" s="4"/>
      <c r="H218" s="4"/>
      <c r="I218" s="4"/>
      <c r="J218" s="4"/>
      <c r="K218" s="4"/>
    </row>
    <row r="219" spans="6:11" x14ac:dyDescent="0.35">
      <c r="F219" s="4"/>
      <c r="G219" s="4"/>
      <c r="H219" s="4"/>
      <c r="I219" s="4"/>
      <c r="J219" s="4"/>
      <c r="K219" s="4"/>
    </row>
    <row r="220" spans="6:11" x14ac:dyDescent="0.35">
      <c r="F220" s="4"/>
      <c r="G220" s="4"/>
      <c r="H220" s="4"/>
      <c r="I220" s="4"/>
      <c r="J220" s="4"/>
      <c r="K220" s="4"/>
    </row>
    <row r="221" spans="6:11" x14ac:dyDescent="0.35">
      <c r="F221" s="4"/>
      <c r="G221" s="4"/>
      <c r="H221" s="4"/>
      <c r="I221" s="4"/>
      <c r="J221" s="4"/>
      <c r="K221" s="4"/>
    </row>
    <row r="222" spans="6:11" x14ac:dyDescent="0.35">
      <c r="F222" s="4"/>
      <c r="G222" s="4"/>
      <c r="H222" s="4"/>
      <c r="I222" s="4"/>
      <c r="J222" s="4"/>
      <c r="K222" s="4"/>
    </row>
    <row r="223" spans="6:11" x14ac:dyDescent="0.35">
      <c r="F223" s="4"/>
      <c r="G223" s="4"/>
      <c r="H223" s="4"/>
      <c r="I223" s="4"/>
      <c r="J223" s="4"/>
      <c r="K223" s="4"/>
    </row>
    <row r="224" spans="6:11" x14ac:dyDescent="0.35">
      <c r="F224" s="4"/>
      <c r="G224" s="4"/>
      <c r="H224" s="4"/>
      <c r="I224" s="4"/>
      <c r="J224" s="4"/>
      <c r="K224" s="4"/>
    </row>
    <row r="225" spans="6:11" x14ac:dyDescent="0.35">
      <c r="F225" s="4"/>
      <c r="G225" s="4"/>
      <c r="H225" s="4"/>
      <c r="I225" s="4"/>
      <c r="J225" s="4"/>
      <c r="K225" s="4"/>
    </row>
    <row r="226" spans="6:11" x14ac:dyDescent="0.35">
      <c r="F226" s="4"/>
      <c r="G226" s="4"/>
      <c r="H226" s="4"/>
      <c r="I226" s="4"/>
      <c r="J226" s="4"/>
      <c r="K226" s="4"/>
    </row>
    <row r="227" spans="6:11" x14ac:dyDescent="0.35">
      <c r="F227" s="4"/>
      <c r="G227" s="4"/>
      <c r="H227" s="4"/>
      <c r="I227" s="4"/>
      <c r="J227" s="4"/>
      <c r="K227" s="4"/>
    </row>
    <row r="228" spans="6:11" x14ac:dyDescent="0.35">
      <c r="F228" s="4"/>
      <c r="G228" s="4"/>
      <c r="H228" s="4"/>
      <c r="I228" s="4"/>
      <c r="J228" s="4"/>
      <c r="K228" s="4"/>
    </row>
    <row r="229" spans="6:11" x14ac:dyDescent="0.35">
      <c r="F229" s="4"/>
      <c r="G229" s="4"/>
      <c r="H229" s="4"/>
      <c r="I229" s="4"/>
      <c r="J229" s="4"/>
      <c r="K229" s="4"/>
    </row>
    <row r="230" spans="6:11" x14ac:dyDescent="0.35">
      <c r="F230" s="4"/>
      <c r="G230" s="4"/>
      <c r="H230" s="4"/>
      <c r="I230" s="4"/>
      <c r="J230" s="4"/>
      <c r="K230" s="4"/>
    </row>
    <row r="231" spans="6:11" x14ac:dyDescent="0.35">
      <c r="F231" s="4"/>
      <c r="G231" s="4"/>
      <c r="H231" s="4"/>
      <c r="I231" s="4"/>
      <c r="J231" s="4"/>
      <c r="K231" s="4"/>
    </row>
    <row r="232" spans="6:11" x14ac:dyDescent="0.35">
      <c r="F232" s="4"/>
      <c r="G232" s="4"/>
      <c r="H232" s="4"/>
      <c r="I232" s="4"/>
      <c r="J232" s="4"/>
      <c r="K232" s="4"/>
    </row>
    <row r="233" spans="6:11" x14ac:dyDescent="0.35">
      <c r="F233" s="4"/>
      <c r="G233" s="4"/>
      <c r="H233" s="4"/>
      <c r="I233" s="4"/>
      <c r="J233" s="4"/>
      <c r="K233" s="4"/>
    </row>
    <row r="234" spans="6:11" x14ac:dyDescent="0.35">
      <c r="F234" s="4"/>
      <c r="G234" s="4"/>
      <c r="H234" s="4"/>
      <c r="I234" s="4"/>
      <c r="J234" s="4"/>
      <c r="K234" s="4"/>
    </row>
    <row r="235" spans="6:11" x14ac:dyDescent="0.35">
      <c r="F235" s="4"/>
      <c r="G235" s="4"/>
      <c r="H235" s="4"/>
      <c r="I235" s="4"/>
      <c r="J235" s="4"/>
      <c r="K235" s="4"/>
    </row>
    <row r="236" spans="6:11" x14ac:dyDescent="0.35">
      <c r="F236" s="4"/>
      <c r="G236" s="4"/>
      <c r="H236" s="4"/>
      <c r="I236" s="4"/>
      <c r="J236" s="4"/>
      <c r="K236" s="4"/>
    </row>
    <row r="237" spans="6:11" x14ac:dyDescent="0.35">
      <c r="F237" s="4"/>
      <c r="G237" s="4"/>
      <c r="H237" s="4"/>
      <c r="I237" s="4"/>
      <c r="J237" s="4"/>
      <c r="K237" s="4"/>
    </row>
    <row r="238" spans="6:11" x14ac:dyDescent="0.35">
      <c r="F238" s="4"/>
      <c r="G238" s="4"/>
      <c r="H238" s="4"/>
      <c r="I238" s="4"/>
      <c r="J238" s="4"/>
      <c r="K238" s="4"/>
    </row>
    <row r="239" spans="6:11" x14ac:dyDescent="0.35">
      <c r="F239" s="4"/>
      <c r="G239" s="4"/>
      <c r="H239" s="4"/>
      <c r="I239" s="4"/>
      <c r="J239" s="4"/>
      <c r="K239" s="4"/>
    </row>
    <row r="240" spans="6:11" x14ac:dyDescent="0.35">
      <c r="F240" s="4"/>
      <c r="G240" s="4"/>
      <c r="H240" s="4"/>
      <c r="I240" s="4"/>
      <c r="J240" s="4"/>
      <c r="K240" s="4"/>
    </row>
    <row r="241" spans="6:11" x14ac:dyDescent="0.35">
      <c r="F241" s="4"/>
      <c r="G241" s="4"/>
      <c r="H241" s="4"/>
      <c r="I241" s="4"/>
      <c r="J241" s="4"/>
      <c r="K241" s="4"/>
    </row>
    <row r="242" spans="6:11" x14ac:dyDescent="0.35">
      <c r="F242" s="4"/>
      <c r="G242" s="4"/>
      <c r="H242" s="4"/>
      <c r="I242" s="4"/>
      <c r="J242" s="4"/>
      <c r="K242" s="4"/>
    </row>
    <row r="243" spans="6:11" x14ac:dyDescent="0.35">
      <c r="F243" s="4"/>
      <c r="G243" s="4"/>
      <c r="H243" s="4"/>
      <c r="I243" s="4"/>
      <c r="J243" s="4"/>
      <c r="K243" s="4"/>
    </row>
    <row r="244" spans="6:11" x14ac:dyDescent="0.35">
      <c r="F244" s="4"/>
      <c r="G244" s="4"/>
      <c r="H244" s="4"/>
      <c r="I244" s="4"/>
      <c r="J244" s="4"/>
      <c r="K244" s="4"/>
    </row>
    <row r="245" spans="6:11" x14ac:dyDescent="0.35">
      <c r="F245" s="4"/>
      <c r="G245" s="4"/>
      <c r="H245" s="4"/>
      <c r="I245" s="4"/>
      <c r="J245" s="4"/>
      <c r="K245" s="4"/>
    </row>
    <row r="246" spans="6:11" x14ac:dyDescent="0.35">
      <c r="F246" s="4"/>
      <c r="G246" s="4"/>
      <c r="H246" s="4"/>
      <c r="I246" s="4"/>
      <c r="J246" s="4"/>
      <c r="K246" s="4"/>
    </row>
    <row r="247" spans="6:11" x14ac:dyDescent="0.35">
      <c r="F247" s="4"/>
      <c r="G247" s="4"/>
      <c r="H247" s="4"/>
      <c r="I247" s="4"/>
      <c r="J247" s="4"/>
      <c r="K247" s="4"/>
    </row>
    <row r="248" spans="6:11" x14ac:dyDescent="0.35">
      <c r="F248" s="4"/>
      <c r="G248" s="4"/>
      <c r="H248" s="4"/>
      <c r="I248" s="4"/>
      <c r="J248" s="4"/>
      <c r="K248" s="4"/>
    </row>
    <row r="249" spans="6:11" x14ac:dyDescent="0.35">
      <c r="F249" s="4"/>
      <c r="G249" s="4"/>
      <c r="H249" s="4"/>
      <c r="I249" s="4"/>
      <c r="J249" s="4"/>
      <c r="K249" s="4"/>
    </row>
    <row r="250" spans="6:11" x14ac:dyDescent="0.35">
      <c r="F250" s="4"/>
      <c r="G250" s="4"/>
      <c r="H250" s="4"/>
      <c r="I250" s="4"/>
      <c r="J250" s="4"/>
      <c r="K250" s="4"/>
    </row>
    <row r="251" spans="6:11" x14ac:dyDescent="0.35">
      <c r="F251" s="4"/>
      <c r="G251" s="4"/>
      <c r="H251" s="4"/>
      <c r="I251" s="4"/>
      <c r="J251" s="4"/>
      <c r="K251" s="4"/>
    </row>
    <row r="252" spans="6:11" x14ac:dyDescent="0.35">
      <c r="F252" s="4"/>
      <c r="G252" s="4"/>
      <c r="H252" s="4"/>
      <c r="I252" s="4"/>
      <c r="J252" s="4"/>
      <c r="K252" s="4"/>
    </row>
    <row r="253" spans="6:11" x14ac:dyDescent="0.35">
      <c r="F253" s="4"/>
      <c r="G253" s="4"/>
      <c r="H253" s="4"/>
      <c r="I253" s="4"/>
      <c r="J253" s="4"/>
      <c r="K253" s="4"/>
    </row>
    <row r="254" spans="6:11" x14ac:dyDescent="0.35">
      <c r="F254" s="4"/>
      <c r="G254" s="4"/>
      <c r="H254" s="4"/>
      <c r="I254" s="4"/>
      <c r="J254" s="4"/>
      <c r="K254" s="4"/>
    </row>
    <row r="255" spans="6:11" x14ac:dyDescent="0.35">
      <c r="F255" s="4"/>
      <c r="G255" s="4"/>
      <c r="H255" s="4"/>
      <c r="I255" s="4"/>
      <c r="J255" s="4"/>
      <c r="K255" s="4"/>
    </row>
    <row r="256" spans="6:11" x14ac:dyDescent="0.35">
      <c r="F256" s="4"/>
      <c r="G256" s="4"/>
      <c r="H256" s="4"/>
      <c r="I256" s="4"/>
      <c r="J256" s="4"/>
      <c r="K256" s="4"/>
    </row>
    <row r="257" spans="6:11" x14ac:dyDescent="0.35">
      <c r="F257" s="4"/>
      <c r="G257" s="4"/>
      <c r="H257" s="4"/>
      <c r="I257" s="4"/>
      <c r="J257" s="4"/>
      <c r="K257" s="4"/>
    </row>
    <row r="258" spans="6:11" x14ac:dyDescent="0.35">
      <c r="F258" s="4"/>
      <c r="G258" s="4"/>
      <c r="H258" s="4"/>
      <c r="I258" s="4"/>
      <c r="J258" s="4"/>
      <c r="K258" s="4"/>
    </row>
    <row r="259" spans="6:11" x14ac:dyDescent="0.35">
      <c r="F259" s="4"/>
      <c r="G259" s="4"/>
      <c r="H259" s="4"/>
      <c r="I259" s="4"/>
      <c r="J259" s="4"/>
      <c r="K259" s="4"/>
    </row>
    <row r="260" spans="6:11" x14ac:dyDescent="0.35">
      <c r="F260" s="4"/>
      <c r="G260" s="4"/>
      <c r="H260" s="4"/>
      <c r="I260" s="4"/>
      <c r="J260" s="4"/>
      <c r="K260" s="4"/>
    </row>
    <row r="261" spans="6:11" x14ac:dyDescent="0.35">
      <c r="F261" s="4"/>
      <c r="G261" s="4"/>
      <c r="H261" s="4"/>
      <c r="I261" s="4"/>
      <c r="J261" s="4"/>
      <c r="K261" s="4"/>
    </row>
    <row r="262" spans="6:11" x14ac:dyDescent="0.35">
      <c r="F262" s="4"/>
      <c r="G262" s="4"/>
      <c r="H262" s="4"/>
      <c r="I262" s="4"/>
      <c r="J262" s="4"/>
      <c r="K262" s="4"/>
    </row>
    <row r="263" spans="6:11" x14ac:dyDescent="0.35">
      <c r="F263" s="4"/>
      <c r="G263" s="4"/>
      <c r="H263" s="4"/>
      <c r="I263" s="4"/>
      <c r="J263" s="4"/>
      <c r="K263" s="4"/>
    </row>
    <row r="264" spans="6:11" x14ac:dyDescent="0.35">
      <c r="F264" s="4"/>
      <c r="G264" s="4"/>
      <c r="H264" s="4"/>
      <c r="I264" s="4"/>
      <c r="J264" s="4"/>
      <c r="K264" s="4"/>
    </row>
    <row r="265" spans="6:11" x14ac:dyDescent="0.35">
      <c r="F265" s="4"/>
      <c r="G265" s="4"/>
      <c r="H265" s="4"/>
      <c r="I265" s="4"/>
      <c r="J265" s="4"/>
      <c r="K265" s="4"/>
    </row>
    <row r="266" spans="6:11" x14ac:dyDescent="0.35">
      <c r="F266" s="4"/>
      <c r="G266" s="4"/>
      <c r="H266" s="4"/>
      <c r="I266" s="4"/>
      <c r="J266" s="4"/>
      <c r="K266" s="4"/>
    </row>
    <row r="267" spans="6:11" x14ac:dyDescent="0.35">
      <c r="F267" s="4"/>
      <c r="G267" s="4"/>
      <c r="H267" s="4"/>
      <c r="I267" s="4"/>
      <c r="J267" s="4"/>
      <c r="K267" s="4"/>
    </row>
    <row r="268" spans="6:11" x14ac:dyDescent="0.35">
      <c r="F268" s="4"/>
      <c r="G268" s="4"/>
      <c r="H268" s="4"/>
      <c r="I268" s="4"/>
      <c r="J268" s="4"/>
      <c r="K268" s="4"/>
    </row>
    <row r="269" spans="6:11" x14ac:dyDescent="0.35">
      <c r="F269" s="4"/>
      <c r="G269" s="4"/>
      <c r="H269" s="4"/>
      <c r="I269" s="4"/>
      <c r="J269" s="4"/>
      <c r="K269" s="4"/>
    </row>
    <row r="270" spans="6:11" x14ac:dyDescent="0.35">
      <c r="F270" s="4"/>
      <c r="G270" s="4"/>
      <c r="H270" s="4"/>
      <c r="I270" s="4"/>
      <c r="J270" s="4"/>
      <c r="K270" s="4"/>
    </row>
    <row r="271" spans="6:11" x14ac:dyDescent="0.35">
      <c r="F271" s="4"/>
      <c r="G271" s="4"/>
      <c r="H271" s="4"/>
      <c r="I271" s="4"/>
      <c r="J271" s="4"/>
      <c r="K271" s="4"/>
    </row>
    <row r="272" spans="6:11" x14ac:dyDescent="0.35">
      <c r="F272" s="4"/>
      <c r="G272" s="4"/>
      <c r="H272" s="4"/>
      <c r="I272" s="4"/>
      <c r="J272" s="4"/>
      <c r="K272" s="4"/>
    </row>
    <row r="273" spans="6:11" x14ac:dyDescent="0.35">
      <c r="F273" s="4"/>
      <c r="G273" s="4"/>
      <c r="H273" s="4"/>
      <c r="I273" s="4"/>
      <c r="J273" s="4"/>
      <c r="K273" s="4"/>
    </row>
    <row r="274" spans="6:11" x14ac:dyDescent="0.35">
      <c r="F274" s="4"/>
      <c r="G274" s="4"/>
      <c r="H274" s="4"/>
      <c r="I274" s="4"/>
      <c r="J274" s="4"/>
      <c r="K274" s="4"/>
    </row>
    <row r="275" spans="6:11" x14ac:dyDescent="0.35">
      <c r="F275" s="4"/>
      <c r="G275" s="4"/>
      <c r="H275" s="4"/>
      <c r="I275" s="4"/>
      <c r="J275" s="4"/>
      <c r="K275" s="4"/>
    </row>
    <row r="276" spans="6:11" x14ac:dyDescent="0.35">
      <c r="F276" s="4"/>
      <c r="G276" s="4"/>
      <c r="H276" s="4"/>
      <c r="I276" s="4"/>
      <c r="J276" s="4"/>
      <c r="K276" s="4"/>
    </row>
    <row r="277" spans="6:11" x14ac:dyDescent="0.35">
      <c r="F277" s="4"/>
      <c r="G277" s="4"/>
      <c r="H277" s="4"/>
      <c r="I277" s="4"/>
      <c r="J277" s="4"/>
      <c r="K277" s="4"/>
    </row>
    <row r="278" spans="6:11" x14ac:dyDescent="0.35">
      <c r="F278" s="4"/>
      <c r="G278" s="4"/>
      <c r="H278" s="4"/>
      <c r="I278" s="4"/>
      <c r="J278" s="4"/>
      <c r="K278" s="4"/>
    </row>
    <row r="279" spans="6:11" x14ac:dyDescent="0.35">
      <c r="F279" s="4"/>
      <c r="G279" s="4"/>
      <c r="H279" s="4"/>
      <c r="I279" s="4"/>
      <c r="J279" s="4"/>
      <c r="K279" s="4"/>
    </row>
    <row r="280" spans="6:11" x14ac:dyDescent="0.35">
      <c r="F280" s="4"/>
      <c r="G280" s="4"/>
      <c r="H280" s="4"/>
      <c r="I280" s="4"/>
      <c r="J280" s="4"/>
      <c r="K280" s="4"/>
    </row>
    <row r="281" spans="6:11" x14ac:dyDescent="0.35">
      <c r="F281" s="4"/>
      <c r="G281" s="4"/>
      <c r="H281" s="4"/>
      <c r="I281" s="4"/>
      <c r="J281" s="4"/>
      <c r="K281" s="4"/>
    </row>
    <row r="282" spans="6:11" x14ac:dyDescent="0.35">
      <c r="F282" s="4"/>
      <c r="G282" s="4"/>
      <c r="H282" s="4"/>
      <c r="I282" s="4"/>
      <c r="J282" s="4"/>
      <c r="K282" s="4"/>
    </row>
    <row r="283" spans="6:11" x14ac:dyDescent="0.35">
      <c r="F283" s="4"/>
      <c r="G283" s="4"/>
      <c r="H283" s="4"/>
      <c r="I283" s="4"/>
      <c r="J283" s="4"/>
      <c r="K283" s="4"/>
    </row>
    <row r="284" spans="6:11" x14ac:dyDescent="0.35">
      <c r="F284" s="4"/>
      <c r="G284" s="4"/>
      <c r="H284" s="4"/>
      <c r="I284" s="4"/>
      <c r="J284" s="4"/>
      <c r="K284" s="4"/>
    </row>
    <row r="285" spans="6:11" x14ac:dyDescent="0.35">
      <c r="F285" s="4"/>
      <c r="G285" s="4"/>
      <c r="H285" s="4"/>
      <c r="I285" s="4"/>
      <c r="J285" s="4"/>
      <c r="K285" s="4"/>
    </row>
    <row r="286" spans="6:11" x14ac:dyDescent="0.35">
      <c r="F286" s="4"/>
      <c r="G286" s="4"/>
      <c r="H286" s="4"/>
      <c r="I286" s="4"/>
      <c r="J286" s="4"/>
      <c r="K286" s="4"/>
    </row>
    <row r="287" spans="6:11" x14ac:dyDescent="0.35">
      <c r="F287" s="4"/>
      <c r="G287" s="4"/>
      <c r="H287" s="4"/>
      <c r="I287" s="4"/>
      <c r="J287" s="4"/>
      <c r="K287" s="4"/>
    </row>
    <row r="288" spans="6:11" x14ac:dyDescent="0.35">
      <c r="F288" s="4"/>
      <c r="G288" s="4"/>
      <c r="H288" s="4"/>
      <c r="I288" s="4"/>
      <c r="J288" s="4"/>
      <c r="K288" s="4"/>
    </row>
    <row r="289" spans="6:11" x14ac:dyDescent="0.35">
      <c r="F289" s="4"/>
      <c r="G289" s="4"/>
      <c r="H289" s="4"/>
      <c r="I289" s="4"/>
      <c r="J289" s="4"/>
      <c r="K289" s="4"/>
    </row>
    <row r="290" spans="6:11" x14ac:dyDescent="0.35">
      <c r="F290" s="4"/>
      <c r="G290" s="4"/>
      <c r="H290" s="4"/>
      <c r="I290" s="4"/>
      <c r="J290" s="4"/>
      <c r="K290" s="4"/>
    </row>
    <row r="291" spans="6:11" x14ac:dyDescent="0.35">
      <c r="F291" s="4"/>
      <c r="G291" s="4"/>
      <c r="H291" s="4"/>
      <c r="I291" s="4"/>
      <c r="J291" s="4"/>
      <c r="K291" s="4"/>
    </row>
    <row r="292" spans="6:11" x14ac:dyDescent="0.35">
      <c r="F292" s="4"/>
      <c r="G292" s="4"/>
      <c r="H292" s="4"/>
      <c r="I292" s="4"/>
      <c r="J292" s="4"/>
      <c r="K292" s="4"/>
    </row>
    <row r="293" spans="6:11" x14ac:dyDescent="0.35">
      <c r="F293" s="4"/>
      <c r="G293" s="4"/>
      <c r="H293" s="4"/>
      <c r="I293" s="4"/>
      <c r="J293" s="4"/>
      <c r="K293" s="4"/>
    </row>
    <row r="294" spans="6:11" x14ac:dyDescent="0.35">
      <c r="F294" s="4"/>
      <c r="G294" s="4"/>
      <c r="H294" s="4"/>
      <c r="I294" s="4"/>
      <c r="J294" s="4"/>
      <c r="K294" s="4"/>
    </row>
    <row r="295" spans="6:11" x14ac:dyDescent="0.35">
      <c r="F295" s="4"/>
      <c r="G295" s="4"/>
      <c r="H295" s="4"/>
      <c r="I295" s="4"/>
      <c r="J295" s="4"/>
      <c r="K295" s="4"/>
    </row>
    <row r="296" spans="6:11" x14ac:dyDescent="0.35">
      <c r="F296" s="4"/>
      <c r="G296" s="4"/>
      <c r="H296" s="4"/>
      <c r="I296" s="4"/>
      <c r="J296" s="4"/>
      <c r="K296" s="4"/>
    </row>
    <row r="297" spans="6:11" x14ac:dyDescent="0.35">
      <c r="F297" s="4"/>
      <c r="G297" s="4"/>
      <c r="H297" s="4"/>
      <c r="I297" s="4"/>
      <c r="J297" s="4"/>
      <c r="K297" s="4"/>
    </row>
    <row r="298" spans="6:11" x14ac:dyDescent="0.35">
      <c r="F298" s="4"/>
      <c r="G298" s="4"/>
      <c r="H298" s="4"/>
      <c r="I298" s="4"/>
      <c r="J298" s="4"/>
      <c r="K298" s="4"/>
    </row>
    <row r="299" spans="6:11" x14ac:dyDescent="0.35">
      <c r="F299" s="4"/>
      <c r="G299" s="4"/>
      <c r="H299" s="4"/>
      <c r="I299" s="4"/>
      <c r="J299" s="4"/>
      <c r="K299" s="4"/>
    </row>
    <row r="300" spans="6:11" x14ac:dyDescent="0.35">
      <c r="F300" s="4"/>
      <c r="G300" s="4"/>
      <c r="H300" s="4"/>
      <c r="I300" s="4"/>
      <c r="J300" s="4"/>
      <c r="K300" s="4"/>
    </row>
    <row r="301" spans="6:11" x14ac:dyDescent="0.35">
      <c r="F301" s="4"/>
      <c r="G301" s="4"/>
      <c r="H301" s="4"/>
      <c r="I301" s="4"/>
      <c r="J301" s="4"/>
      <c r="K301" s="4"/>
    </row>
    <row r="302" spans="6:11" x14ac:dyDescent="0.35">
      <c r="F302" s="4"/>
      <c r="G302" s="4"/>
      <c r="H302" s="4"/>
      <c r="I302" s="4"/>
      <c r="J302" s="4"/>
      <c r="K302" s="4"/>
    </row>
    <row r="303" spans="6:11" x14ac:dyDescent="0.35">
      <c r="F303" s="4"/>
      <c r="G303" s="4"/>
      <c r="H303" s="4"/>
      <c r="I303" s="4"/>
      <c r="J303" s="4"/>
      <c r="K303" s="4"/>
    </row>
    <row r="304" spans="6:11" x14ac:dyDescent="0.35">
      <c r="F304" s="4"/>
      <c r="G304" s="4"/>
      <c r="H304" s="4"/>
      <c r="I304" s="4"/>
      <c r="J304" s="4"/>
      <c r="K304" s="4"/>
    </row>
    <row r="305" spans="6:11" x14ac:dyDescent="0.35">
      <c r="F305" s="4"/>
      <c r="G305" s="4"/>
      <c r="H305" s="4"/>
      <c r="I305" s="4"/>
      <c r="J305" s="4"/>
      <c r="K305" s="4"/>
    </row>
    <row r="306" spans="6:11" x14ac:dyDescent="0.35">
      <c r="F306" s="4"/>
      <c r="G306" s="4"/>
      <c r="H306" s="4"/>
      <c r="I306" s="4"/>
      <c r="J306" s="4"/>
      <c r="K306" s="4"/>
    </row>
    <row r="307" spans="6:11" x14ac:dyDescent="0.35">
      <c r="F307" s="4"/>
      <c r="G307" s="4"/>
      <c r="H307" s="4"/>
      <c r="I307" s="4"/>
      <c r="J307" s="4"/>
      <c r="K307" s="4"/>
    </row>
    <row r="308" spans="6:11" x14ac:dyDescent="0.35">
      <c r="F308" s="4"/>
      <c r="G308" s="4"/>
      <c r="H308" s="4"/>
      <c r="I308" s="4"/>
      <c r="J308" s="4"/>
      <c r="K308" s="4"/>
    </row>
    <row r="309" spans="6:11" x14ac:dyDescent="0.35">
      <c r="F309" s="4"/>
      <c r="G309" s="4"/>
      <c r="H309" s="4"/>
      <c r="I309" s="4"/>
      <c r="J309" s="4"/>
      <c r="K309" s="4"/>
    </row>
    <row r="310" spans="6:11" x14ac:dyDescent="0.35">
      <c r="F310" s="4"/>
      <c r="G310" s="4"/>
      <c r="H310" s="4"/>
      <c r="I310" s="4"/>
      <c r="J310" s="4"/>
      <c r="K310" s="4"/>
    </row>
    <row r="311" spans="6:11" x14ac:dyDescent="0.35">
      <c r="F311" s="4"/>
      <c r="G311" s="4"/>
      <c r="H311" s="4"/>
      <c r="I311" s="4"/>
      <c r="J311" s="4"/>
      <c r="K311" s="4"/>
    </row>
    <row r="312" spans="6:11" x14ac:dyDescent="0.35">
      <c r="F312" s="4"/>
      <c r="G312" s="4"/>
      <c r="H312" s="4"/>
      <c r="I312" s="4"/>
      <c r="J312" s="4"/>
      <c r="K312" s="4"/>
    </row>
    <row r="313" spans="6:11" x14ac:dyDescent="0.35">
      <c r="F313" s="4"/>
      <c r="G313" s="4"/>
      <c r="H313" s="4"/>
      <c r="I313" s="4"/>
      <c r="J313" s="4"/>
      <c r="K313" s="4"/>
    </row>
    <row r="314" spans="6:11" x14ac:dyDescent="0.35">
      <c r="F314" s="4"/>
      <c r="G314" s="4"/>
      <c r="H314" s="4"/>
      <c r="I314" s="4"/>
      <c r="J314" s="4"/>
      <c r="K314" s="4"/>
    </row>
    <row r="315" spans="6:11" x14ac:dyDescent="0.35">
      <c r="F315" s="4"/>
      <c r="G315" s="4"/>
      <c r="H315" s="4"/>
      <c r="I315" s="4"/>
      <c r="J315" s="4"/>
      <c r="K315" s="4"/>
    </row>
    <row r="316" spans="6:11" x14ac:dyDescent="0.35">
      <c r="F316" s="4"/>
      <c r="G316" s="4"/>
      <c r="H316" s="4"/>
      <c r="I316" s="4"/>
      <c r="J316" s="4"/>
      <c r="K316" s="4"/>
    </row>
    <row r="317" spans="6:11" x14ac:dyDescent="0.35">
      <c r="F317" s="4"/>
      <c r="G317" s="4"/>
      <c r="H317" s="4"/>
      <c r="I317" s="4"/>
      <c r="J317" s="4"/>
      <c r="K317" s="4"/>
    </row>
    <row r="318" spans="6:11" x14ac:dyDescent="0.35">
      <c r="F318" s="4"/>
      <c r="G318" s="4"/>
      <c r="H318" s="4"/>
      <c r="I318" s="4"/>
      <c r="J318" s="4"/>
      <c r="K318" s="4"/>
    </row>
    <row r="319" spans="6:11" x14ac:dyDescent="0.35">
      <c r="F319" s="4"/>
      <c r="G319" s="4"/>
      <c r="H319" s="4"/>
      <c r="I319" s="4"/>
      <c r="J319" s="4"/>
      <c r="K319" s="4"/>
    </row>
    <row r="320" spans="6:11" x14ac:dyDescent="0.35">
      <c r="F320" s="4"/>
      <c r="G320" s="4"/>
      <c r="H320" s="4"/>
      <c r="I320" s="4"/>
      <c r="J320" s="4"/>
      <c r="K320" s="4"/>
    </row>
    <row r="321" spans="6:11" x14ac:dyDescent="0.35">
      <c r="F321" s="4"/>
      <c r="G321" s="4"/>
      <c r="H321" s="4"/>
      <c r="I321" s="4"/>
      <c r="J321" s="4"/>
      <c r="K321" s="4"/>
    </row>
    <row r="322" spans="6:11" x14ac:dyDescent="0.35">
      <c r="F322" s="4"/>
      <c r="G322" s="4"/>
      <c r="H322" s="4"/>
      <c r="I322" s="4"/>
      <c r="J322" s="4"/>
      <c r="K322" s="4"/>
    </row>
    <row r="323" spans="6:11" x14ac:dyDescent="0.35">
      <c r="F323" s="4"/>
      <c r="G323" s="4"/>
      <c r="H323" s="4"/>
      <c r="I323" s="4"/>
      <c r="J323" s="4"/>
      <c r="K323" s="4"/>
    </row>
    <row r="324" spans="6:11" x14ac:dyDescent="0.35">
      <c r="F324" s="4"/>
      <c r="G324" s="4"/>
      <c r="H324" s="4"/>
      <c r="I324" s="4"/>
      <c r="J324" s="4"/>
      <c r="K324" s="4"/>
    </row>
    <row r="325" spans="6:11" x14ac:dyDescent="0.35">
      <c r="F325" s="4"/>
      <c r="G325" s="4"/>
      <c r="H325" s="4"/>
      <c r="I325" s="4"/>
      <c r="J325" s="4"/>
      <c r="K325" s="4"/>
    </row>
    <row r="326" spans="6:11" x14ac:dyDescent="0.35">
      <c r="F326" s="4"/>
      <c r="G326" s="4"/>
      <c r="H326" s="4"/>
      <c r="I326" s="4"/>
      <c r="J326" s="4"/>
      <c r="K326" s="4"/>
    </row>
    <row r="327" spans="6:11" x14ac:dyDescent="0.35">
      <c r="F327" s="4"/>
      <c r="G327" s="4"/>
      <c r="H327" s="4"/>
      <c r="I327" s="4"/>
      <c r="J327" s="4"/>
      <c r="K327" s="4"/>
    </row>
    <row r="328" spans="6:11" x14ac:dyDescent="0.35">
      <c r="F328" s="4"/>
      <c r="G328" s="4"/>
      <c r="H328" s="4"/>
      <c r="I328" s="4"/>
      <c r="J328" s="4"/>
      <c r="K328" s="4"/>
    </row>
    <row r="329" spans="6:11" x14ac:dyDescent="0.35">
      <c r="F329" s="4"/>
      <c r="G329" s="4"/>
      <c r="H329" s="4"/>
      <c r="I329" s="4"/>
      <c r="J329" s="4"/>
      <c r="K329" s="4"/>
    </row>
    <row r="330" spans="6:11" x14ac:dyDescent="0.35">
      <c r="F330" s="4"/>
      <c r="G330" s="4"/>
      <c r="H330" s="4"/>
      <c r="I330" s="4"/>
      <c r="J330" s="4"/>
      <c r="K330" s="4"/>
    </row>
    <row r="331" spans="6:11" x14ac:dyDescent="0.35">
      <c r="F331" s="4"/>
      <c r="G331" s="4"/>
      <c r="H331" s="4"/>
      <c r="I331" s="4"/>
      <c r="J331" s="4"/>
      <c r="K331" s="4"/>
    </row>
    <row r="332" spans="6:11" x14ac:dyDescent="0.35">
      <c r="F332" s="4"/>
      <c r="G332" s="4"/>
      <c r="H332" s="4"/>
      <c r="I332" s="4"/>
      <c r="J332" s="4"/>
      <c r="K332" s="4"/>
    </row>
    <row r="333" spans="6:11" x14ac:dyDescent="0.35">
      <c r="F333" s="4"/>
      <c r="G333" s="4"/>
      <c r="H333" s="4"/>
      <c r="I333" s="4"/>
      <c r="J333" s="4"/>
      <c r="K333" s="4"/>
    </row>
    <row r="334" spans="6:11" x14ac:dyDescent="0.35">
      <c r="F334" s="4"/>
      <c r="G334" s="4"/>
      <c r="H334" s="4"/>
      <c r="I334" s="4"/>
      <c r="J334" s="4"/>
      <c r="K334" s="4"/>
    </row>
    <row r="335" spans="6:11" x14ac:dyDescent="0.35">
      <c r="F335" s="4"/>
      <c r="G335" s="4"/>
      <c r="H335" s="4"/>
      <c r="I335" s="4"/>
      <c r="J335" s="4"/>
      <c r="K335" s="4"/>
    </row>
    <row r="336" spans="6:11" x14ac:dyDescent="0.35">
      <c r="F336" s="4"/>
      <c r="G336" s="4"/>
      <c r="H336" s="4"/>
      <c r="I336" s="4"/>
      <c r="J336" s="4"/>
      <c r="K336" s="4"/>
    </row>
    <row r="337" spans="6:11" x14ac:dyDescent="0.35">
      <c r="F337" s="4"/>
      <c r="G337" s="4"/>
      <c r="H337" s="4"/>
      <c r="I337" s="4"/>
      <c r="J337" s="4"/>
      <c r="K337" s="4"/>
    </row>
    <row r="338" spans="6:11" x14ac:dyDescent="0.35">
      <c r="F338" s="4"/>
      <c r="G338" s="4"/>
      <c r="H338" s="4"/>
      <c r="I338" s="4"/>
      <c r="J338" s="4"/>
      <c r="K338" s="4"/>
    </row>
    <row r="339" spans="6:11" x14ac:dyDescent="0.35">
      <c r="F339" s="4"/>
      <c r="G339" s="4"/>
      <c r="H339" s="4"/>
      <c r="I339" s="4"/>
      <c r="J339" s="4"/>
      <c r="K339" s="4"/>
    </row>
    <row r="340" spans="6:11" x14ac:dyDescent="0.35">
      <c r="F340" s="4"/>
      <c r="G340" s="4"/>
      <c r="H340" s="4"/>
      <c r="I340" s="4"/>
      <c r="J340" s="4"/>
      <c r="K340" s="4"/>
    </row>
    <row r="341" spans="6:11" x14ac:dyDescent="0.35">
      <c r="F341" s="4"/>
      <c r="G341" s="4"/>
      <c r="H341" s="4"/>
      <c r="I341" s="4"/>
      <c r="J341" s="4"/>
      <c r="K341" s="4"/>
    </row>
    <row r="342" spans="6:11" x14ac:dyDescent="0.35">
      <c r="F342" s="4"/>
      <c r="G342" s="4"/>
      <c r="H342" s="4"/>
      <c r="I342" s="4"/>
      <c r="J342" s="4"/>
      <c r="K342" s="4"/>
    </row>
    <row r="343" spans="6:11" x14ac:dyDescent="0.35">
      <c r="F343" s="4"/>
      <c r="G343" s="4"/>
      <c r="H343" s="4"/>
      <c r="I343" s="4"/>
      <c r="J343" s="4"/>
      <c r="K343" s="4"/>
    </row>
    <row r="344" spans="6:11" x14ac:dyDescent="0.35">
      <c r="F344" s="4"/>
      <c r="G344" s="4"/>
      <c r="H344" s="4"/>
      <c r="I344" s="4"/>
      <c r="J344" s="4"/>
      <c r="K344" s="4"/>
    </row>
    <row r="345" spans="6:11" x14ac:dyDescent="0.35">
      <c r="F345" s="4"/>
      <c r="G345" s="4"/>
      <c r="H345" s="4"/>
      <c r="I345" s="4"/>
      <c r="J345" s="4"/>
      <c r="K345" s="4"/>
    </row>
  </sheetData>
  <phoneticPr fontId="5" type="noConversion"/>
  <pageMargins left="0.7" right="0.7" top="0.75" bottom="0.75" header="0.3" footer="0.3"/>
  <headerFooter>
    <oddFooter>&amp;L_x000D_&amp;1#&amp;"Aptos"&amp;14&amp;K000000 Información Interna</oddFoot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E9368-7997-46E0-859A-02E4E9D69CF2}">
  <sheetPr codeName="Sheet4">
    <tabColor theme="5"/>
  </sheetPr>
  <dimension ref="A1:J901"/>
  <sheetViews>
    <sheetView zoomScale="85" zoomScaleNormal="85" workbookViewId="0">
      <selection activeCell="C2" sqref="C2:C901"/>
    </sheetView>
  </sheetViews>
  <sheetFormatPr baseColWidth="10" defaultColWidth="11.453125" defaultRowHeight="14.5" x14ac:dyDescent="0.35"/>
  <cols>
    <col min="2" max="2" width="14.453125" bestFit="1" customWidth="1"/>
    <col min="3" max="3" width="51.1796875" bestFit="1" customWidth="1"/>
    <col min="4" max="4" width="23" bestFit="1" customWidth="1"/>
  </cols>
  <sheetData>
    <row r="1" spans="1:4" x14ac:dyDescent="0.35">
      <c r="A1" s="1" t="s">
        <v>652</v>
      </c>
      <c r="B1" s="1" t="s">
        <v>653</v>
      </c>
      <c r="C1" s="1" t="s">
        <v>654</v>
      </c>
      <c r="D1" s="1" t="s">
        <v>655</v>
      </c>
    </row>
    <row r="2" spans="1:4" x14ac:dyDescent="0.35">
      <c r="A2" s="2" t="s">
        <v>3</v>
      </c>
      <c r="B2" s="3">
        <v>10000</v>
      </c>
      <c r="C2" s="2">
        <v>10000</v>
      </c>
      <c r="D2" s="2" t="s">
        <v>656</v>
      </c>
    </row>
    <row r="3" spans="1:4" x14ac:dyDescent="0.35">
      <c r="A3" s="2" t="s">
        <v>3</v>
      </c>
      <c r="B3" s="3">
        <v>10001</v>
      </c>
      <c r="C3" s="2">
        <v>10001</v>
      </c>
      <c r="D3" s="2" t="s">
        <v>657</v>
      </c>
    </row>
    <row r="4" spans="1:4" x14ac:dyDescent="0.35">
      <c r="A4" s="2" t="s">
        <v>3</v>
      </c>
      <c r="B4" s="3">
        <v>10002</v>
      </c>
      <c r="C4" s="2">
        <v>10002</v>
      </c>
      <c r="D4" s="2" t="s">
        <v>658</v>
      </c>
    </row>
    <row r="5" spans="1:4" x14ac:dyDescent="0.35">
      <c r="A5" s="2" t="s">
        <v>3</v>
      </c>
      <c r="B5" s="3">
        <v>10003</v>
      </c>
      <c r="C5" s="2">
        <v>10003</v>
      </c>
      <c r="D5" s="2" t="s">
        <v>659</v>
      </c>
    </row>
    <row r="6" spans="1:4" x14ac:dyDescent="0.35">
      <c r="A6" s="2" t="s">
        <v>3</v>
      </c>
      <c r="B6" s="3">
        <v>10004</v>
      </c>
      <c r="C6" s="2">
        <v>10004</v>
      </c>
      <c r="D6" s="2" t="s">
        <v>660</v>
      </c>
    </row>
    <row r="7" spans="1:4" x14ac:dyDescent="0.35">
      <c r="A7" s="2" t="s">
        <v>3</v>
      </c>
      <c r="B7" s="3">
        <v>10005</v>
      </c>
      <c r="C7" s="2">
        <v>10005</v>
      </c>
      <c r="D7" s="2" t="s">
        <v>661</v>
      </c>
    </row>
    <row r="8" spans="1:4" x14ac:dyDescent="0.35">
      <c r="A8" s="2" t="s">
        <v>3</v>
      </c>
      <c r="B8" s="3">
        <v>10006</v>
      </c>
      <c r="C8" s="2">
        <v>10006</v>
      </c>
      <c r="D8" s="2" t="s">
        <v>662</v>
      </c>
    </row>
    <row r="9" spans="1:4" x14ac:dyDescent="0.35">
      <c r="A9" s="2" t="s">
        <v>3</v>
      </c>
      <c r="B9" s="3">
        <v>10007</v>
      </c>
      <c r="C9" s="2">
        <v>10007</v>
      </c>
      <c r="D9" s="2" t="s">
        <v>646</v>
      </c>
    </row>
    <row r="10" spans="1:4" x14ac:dyDescent="0.35">
      <c r="A10" s="2" t="s">
        <v>3</v>
      </c>
      <c r="B10" s="3">
        <v>10008</v>
      </c>
      <c r="C10" s="2">
        <v>10008</v>
      </c>
      <c r="D10" s="2" t="s">
        <v>663</v>
      </c>
    </row>
    <row r="11" spans="1:4" x14ac:dyDescent="0.35">
      <c r="A11" s="2" t="s">
        <v>3</v>
      </c>
      <c r="B11" s="3">
        <v>10009</v>
      </c>
      <c r="C11" s="2">
        <v>10009</v>
      </c>
      <c r="D11" s="2" t="s">
        <v>664</v>
      </c>
    </row>
    <row r="12" spans="1:4" x14ac:dyDescent="0.35">
      <c r="A12" s="2" t="s">
        <v>3</v>
      </c>
      <c r="B12" s="3">
        <v>12000</v>
      </c>
      <c r="C12" s="2">
        <v>12000</v>
      </c>
      <c r="D12" s="2" t="s">
        <v>665</v>
      </c>
    </row>
    <row r="13" spans="1:4" x14ac:dyDescent="0.35">
      <c r="A13" s="2" t="s">
        <v>3</v>
      </c>
      <c r="B13" s="3">
        <v>13000</v>
      </c>
      <c r="C13" s="2">
        <v>13000</v>
      </c>
      <c r="D13" s="2" t="s">
        <v>666</v>
      </c>
    </row>
    <row r="14" spans="1:4" x14ac:dyDescent="0.35">
      <c r="A14" s="2" t="s">
        <v>3</v>
      </c>
      <c r="B14" s="3">
        <v>13000</v>
      </c>
      <c r="C14" s="2">
        <v>13000</v>
      </c>
      <c r="D14" s="2" t="s">
        <v>666</v>
      </c>
    </row>
    <row r="15" spans="1:4" x14ac:dyDescent="0.35">
      <c r="A15" s="2" t="s">
        <v>3</v>
      </c>
      <c r="B15" s="3">
        <v>20000</v>
      </c>
      <c r="C15" s="2">
        <v>20000</v>
      </c>
      <c r="D15" s="2" t="s">
        <v>667</v>
      </c>
    </row>
    <row r="16" spans="1:4" x14ac:dyDescent="0.35">
      <c r="A16" s="2" t="s">
        <v>3</v>
      </c>
      <c r="B16" s="3">
        <v>30000</v>
      </c>
      <c r="C16" s="2">
        <v>30000</v>
      </c>
      <c r="D16" s="2" t="s">
        <v>668</v>
      </c>
    </row>
    <row r="17" spans="1:4" x14ac:dyDescent="0.35">
      <c r="A17" s="2" t="s">
        <v>3</v>
      </c>
      <c r="B17" s="3">
        <v>30000</v>
      </c>
      <c r="C17" s="2">
        <v>30000</v>
      </c>
      <c r="D17" s="2" t="s">
        <v>669</v>
      </c>
    </row>
    <row r="18" spans="1:4" x14ac:dyDescent="0.35">
      <c r="A18" s="2" t="s">
        <v>3</v>
      </c>
      <c r="B18" s="3">
        <v>30001</v>
      </c>
      <c r="C18" s="2">
        <v>30001</v>
      </c>
      <c r="D18" s="2" t="s">
        <v>670</v>
      </c>
    </row>
    <row r="19" spans="1:4" x14ac:dyDescent="0.35">
      <c r="A19" s="2" t="s">
        <v>3</v>
      </c>
      <c r="B19" s="3">
        <v>30002</v>
      </c>
      <c r="C19" s="2">
        <v>30002</v>
      </c>
      <c r="D19" s="2" t="s">
        <v>671</v>
      </c>
    </row>
    <row r="20" spans="1:4" x14ac:dyDescent="0.35">
      <c r="A20" s="2" t="s">
        <v>3</v>
      </c>
      <c r="B20" s="3">
        <v>30003</v>
      </c>
      <c r="C20" s="2">
        <v>30003</v>
      </c>
      <c r="D20" s="2" t="s">
        <v>672</v>
      </c>
    </row>
    <row r="21" spans="1:4" x14ac:dyDescent="0.35">
      <c r="A21" s="2" t="s">
        <v>3</v>
      </c>
      <c r="B21" s="3">
        <v>40000</v>
      </c>
      <c r="C21" s="2">
        <v>40000</v>
      </c>
      <c r="D21" s="2" t="s">
        <v>673</v>
      </c>
    </row>
    <row r="22" spans="1:4" x14ac:dyDescent="0.35">
      <c r="A22" s="2" t="s">
        <v>3</v>
      </c>
      <c r="B22" s="3">
        <v>40000</v>
      </c>
      <c r="C22" s="2">
        <v>40000</v>
      </c>
      <c r="D22" s="2" t="s">
        <v>674</v>
      </c>
    </row>
    <row r="23" spans="1:4" x14ac:dyDescent="0.35">
      <c r="A23" s="2" t="s">
        <v>3</v>
      </c>
      <c r="B23" s="3">
        <v>40001</v>
      </c>
      <c r="C23" s="2">
        <v>40001</v>
      </c>
      <c r="D23" s="2" t="s">
        <v>675</v>
      </c>
    </row>
    <row r="24" spans="1:4" x14ac:dyDescent="0.35">
      <c r="A24" s="2" t="s">
        <v>3</v>
      </c>
      <c r="B24" s="3">
        <v>40002</v>
      </c>
      <c r="C24" s="2">
        <v>40002</v>
      </c>
      <c r="D24" s="2" t="s">
        <v>676</v>
      </c>
    </row>
    <row r="25" spans="1:4" x14ac:dyDescent="0.35">
      <c r="A25" s="2" t="s">
        <v>3</v>
      </c>
      <c r="B25" s="3">
        <v>40003</v>
      </c>
      <c r="C25" s="2">
        <v>40003</v>
      </c>
      <c r="D25" s="2" t="s">
        <v>677</v>
      </c>
    </row>
    <row r="26" spans="1:4" x14ac:dyDescent="0.35">
      <c r="A26" s="2" t="s">
        <v>3</v>
      </c>
      <c r="B26" s="3">
        <v>40004</v>
      </c>
      <c r="C26" s="2">
        <v>40004</v>
      </c>
      <c r="D26" s="2" t="s">
        <v>678</v>
      </c>
    </row>
    <row r="27" spans="1:4" x14ac:dyDescent="0.35">
      <c r="A27" s="2" t="s">
        <v>3</v>
      </c>
      <c r="B27" s="3">
        <v>40005</v>
      </c>
      <c r="C27" s="2">
        <v>40005</v>
      </c>
      <c r="D27" s="2" t="s">
        <v>679</v>
      </c>
    </row>
    <row r="28" spans="1:4" x14ac:dyDescent="0.35">
      <c r="A28" s="2" t="s">
        <v>3</v>
      </c>
      <c r="B28" s="3">
        <v>40009</v>
      </c>
      <c r="C28" s="2">
        <v>40009</v>
      </c>
      <c r="D28" s="2" t="s">
        <v>680</v>
      </c>
    </row>
    <row r="29" spans="1:4" x14ac:dyDescent="0.35">
      <c r="A29" s="2" t="s">
        <v>3</v>
      </c>
      <c r="B29" s="3">
        <v>50000</v>
      </c>
      <c r="C29" s="2">
        <v>50000</v>
      </c>
      <c r="D29" s="2" t="s">
        <v>681</v>
      </c>
    </row>
    <row r="30" spans="1:4" x14ac:dyDescent="0.35">
      <c r="A30" s="2" t="s">
        <v>3</v>
      </c>
      <c r="B30" s="3">
        <v>60000</v>
      </c>
      <c r="C30" s="2">
        <v>60000</v>
      </c>
      <c r="D30" s="2" t="s">
        <v>682</v>
      </c>
    </row>
    <row r="31" spans="1:4" x14ac:dyDescent="0.35">
      <c r="A31" s="2" t="s">
        <v>3</v>
      </c>
      <c r="B31" s="3">
        <v>60001</v>
      </c>
      <c r="C31" s="2">
        <v>60001</v>
      </c>
      <c r="D31" s="2" t="s">
        <v>683</v>
      </c>
    </row>
    <row r="32" spans="1:4" x14ac:dyDescent="0.35">
      <c r="A32" s="2" t="s">
        <v>3</v>
      </c>
      <c r="B32" s="3">
        <v>60002</v>
      </c>
      <c r="C32" s="2">
        <v>60002</v>
      </c>
      <c r="D32" s="2" t="s">
        <v>684</v>
      </c>
    </row>
    <row r="33" spans="1:4" x14ac:dyDescent="0.35">
      <c r="A33" s="2" t="s">
        <v>3</v>
      </c>
      <c r="B33" s="3">
        <v>60003</v>
      </c>
      <c r="C33" s="2">
        <v>60003</v>
      </c>
      <c r="D33" s="2" t="s">
        <v>685</v>
      </c>
    </row>
    <row r="34" spans="1:4" x14ac:dyDescent="0.35">
      <c r="A34" s="2" t="s">
        <v>3</v>
      </c>
      <c r="B34" s="3">
        <v>70000</v>
      </c>
      <c r="C34" s="2">
        <v>70000</v>
      </c>
      <c r="D34" s="2" t="s">
        <v>686</v>
      </c>
    </row>
    <row r="35" spans="1:4" x14ac:dyDescent="0.35">
      <c r="A35" s="2" t="s">
        <v>3</v>
      </c>
      <c r="B35" s="3" t="s">
        <v>687</v>
      </c>
      <c r="C35" s="2" t="s">
        <v>687</v>
      </c>
      <c r="D35" s="2" t="s">
        <v>688</v>
      </c>
    </row>
    <row r="36" spans="1:4" x14ac:dyDescent="0.35">
      <c r="A36" s="2" t="s">
        <v>3</v>
      </c>
      <c r="B36" s="3" t="s">
        <v>689</v>
      </c>
      <c r="C36" s="2" t="s">
        <v>689</v>
      </c>
      <c r="D36" s="2" t="s">
        <v>688</v>
      </c>
    </row>
    <row r="37" spans="1:4" x14ac:dyDescent="0.35">
      <c r="A37" s="2" t="s">
        <v>3</v>
      </c>
      <c r="B37" s="3" t="s">
        <v>690</v>
      </c>
      <c r="C37" s="2" t="s">
        <v>690</v>
      </c>
      <c r="D37" s="2" t="s">
        <v>691</v>
      </c>
    </row>
    <row r="38" spans="1:4" x14ac:dyDescent="0.35">
      <c r="A38" s="2" t="s">
        <v>3</v>
      </c>
      <c r="B38" s="3" t="s">
        <v>692</v>
      </c>
      <c r="C38" s="2" t="s">
        <v>692</v>
      </c>
      <c r="D38" s="2" t="s">
        <v>693</v>
      </c>
    </row>
    <row r="39" spans="1:4" x14ac:dyDescent="0.35">
      <c r="A39" s="2" t="s">
        <v>3</v>
      </c>
      <c r="B39" s="3" t="s">
        <v>694</v>
      </c>
      <c r="C39" s="2" t="s">
        <v>694</v>
      </c>
      <c r="D39" s="2" t="s">
        <v>695</v>
      </c>
    </row>
    <row r="40" spans="1:4" x14ac:dyDescent="0.35">
      <c r="A40" s="2" t="s">
        <v>3</v>
      </c>
      <c r="B40" s="3" t="s">
        <v>696</v>
      </c>
      <c r="C40" s="2" t="s">
        <v>696</v>
      </c>
      <c r="D40" s="2" t="s">
        <v>695</v>
      </c>
    </row>
    <row r="41" spans="1:4" x14ac:dyDescent="0.35">
      <c r="A41" s="2" t="s">
        <v>3</v>
      </c>
      <c r="B41" s="3" t="s">
        <v>697</v>
      </c>
      <c r="C41" s="2" t="s">
        <v>697</v>
      </c>
      <c r="D41" s="2" t="s">
        <v>698</v>
      </c>
    </row>
    <row r="42" spans="1:4" x14ac:dyDescent="0.35">
      <c r="A42" s="2" t="s">
        <v>3</v>
      </c>
      <c r="B42" s="3" t="s">
        <v>699</v>
      </c>
      <c r="C42" s="2" t="s">
        <v>699</v>
      </c>
      <c r="D42" s="2" t="s">
        <v>700</v>
      </c>
    </row>
    <row r="43" spans="1:4" x14ac:dyDescent="0.35">
      <c r="A43" s="2" t="s">
        <v>3</v>
      </c>
      <c r="B43" s="3" t="s">
        <v>701</v>
      </c>
      <c r="C43" s="2" t="s">
        <v>701</v>
      </c>
      <c r="D43" s="2" t="s">
        <v>700</v>
      </c>
    </row>
    <row r="44" spans="1:4" x14ac:dyDescent="0.35">
      <c r="A44" s="2" t="s">
        <v>3</v>
      </c>
      <c r="B44" s="3" t="s">
        <v>702</v>
      </c>
      <c r="C44" s="2" t="s">
        <v>702</v>
      </c>
      <c r="D44" s="2" t="s">
        <v>703</v>
      </c>
    </row>
    <row r="45" spans="1:4" x14ac:dyDescent="0.35">
      <c r="A45" s="2" t="s">
        <v>3</v>
      </c>
      <c r="B45" s="3" t="s">
        <v>704</v>
      </c>
      <c r="C45" s="2" t="s">
        <v>704</v>
      </c>
      <c r="D45" s="2" t="s">
        <v>705</v>
      </c>
    </row>
    <row r="46" spans="1:4" x14ac:dyDescent="0.35">
      <c r="A46" s="2" t="s">
        <v>3</v>
      </c>
      <c r="B46" s="3" t="s">
        <v>706</v>
      </c>
      <c r="C46" s="2" t="s">
        <v>706</v>
      </c>
      <c r="D46" s="2" t="s">
        <v>705</v>
      </c>
    </row>
    <row r="47" spans="1:4" x14ac:dyDescent="0.35">
      <c r="A47" s="2" t="s">
        <v>3</v>
      </c>
      <c r="B47" s="3" t="s">
        <v>707</v>
      </c>
      <c r="C47" s="2" t="s">
        <v>707</v>
      </c>
      <c r="D47" s="2" t="s">
        <v>708</v>
      </c>
    </row>
    <row r="48" spans="1:4" x14ac:dyDescent="0.35">
      <c r="A48" s="2" t="s">
        <v>3</v>
      </c>
      <c r="B48" s="3" t="s">
        <v>709</v>
      </c>
      <c r="C48" s="2" t="s">
        <v>709</v>
      </c>
      <c r="D48" s="2" t="s">
        <v>708</v>
      </c>
    </row>
    <row r="49" spans="1:4" x14ac:dyDescent="0.35">
      <c r="A49" s="2" t="s">
        <v>3</v>
      </c>
      <c r="B49" s="3" t="s">
        <v>710</v>
      </c>
      <c r="C49" s="2" t="s">
        <v>710</v>
      </c>
      <c r="D49" s="2" t="s">
        <v>711</v>
      </c>
    </row>
    <row r="50" spans="1:4" x14ac:dyDescent="0.35">
      <c r="A50" s="2" t="s">
        <v>3</v>
      </c>
      <c r="B50" s="3" t="s">
        <v>712</v>
      </c>
      <c r="C50" s="2" t="s">
        <v>712</v>
      </c>
      <c r="D50" s="2" t="s">
        <v>713</v>
      </c>
    </row>
    <row r="51" spans="1:4" x14ac:dyDescent="0.35">
      <c r="A51" s="2" t="s">
        <v>3</v>
      </c>
      <c r="B51" s="3" t="s">
        <v>714</v>
      </c>
      <c r="C51" s="2" t="s">
        <v>714</v>
      </c>
      <c r="D51" s="2" t="s">
        <v>715</v>
      </c>
    </row>
    <row r="52" spans="1:4" x14ac:dyDescent="0.35">
      <c r="A52" s="2" t="s">
        <v>3</v>
      </c>
      <c r="B52" s="3" t="s">
        <v>716</v>
      </c>
      <c r="C52" s="2" t="s">
        <v>716</v>
      </c>
      <c r="D52" s="2" t="s">
        <v>717</v>
      </c>
    </row>
    <row r="53" spans="1:4" x14ac:dyDescent="0.35">
      <c r="A53" s="2" t="s">
        <v>3</v>
      </c>
      <c r="B53" s="3" t="s">
        <v>718</v>
      </c>
      <c r="C53" s="2" t="s">
        <v>718</v>
      </c>
      <c r="D53" s="2" t="s">
        <v>719</v>
      </c>
    </row>
    <row r="54" spans="1:4" x14ac:dyDescent="0.35">
      <c r="A54" s="2" t="s">
        <v>3</v>
      </c>
      <c r="B54" s="3" t="s">
        <v>720</v>
      </c>
      <c r="C54" s="2" t="s">
        <v>720</v>
      </c>
      <c r="D54" s="2" t="s">
        <v>721</v>
      </c>
    </row>
    <row r="55" spans="1:4" x14ac:dyDescent="0.35">
      <c r="A55" s="2" t="s">
        <v>3</v>
      </c>
      <c r="B55" s="3" t="s">
        <v>722</v>
      </c>
      <c r="C55" s="2" t="s">
        <v>722</v>
      </c>
      <c r="D55" s="2" t="s">
        <v>723</v>
      </c>
    </row>
    <row r="56" spans="1:4" x14ac:dyDescent="0.35">
      <c r="A56" s="2" t="s">
        <v>3</v>
      </c>
      <c r="B56" s="3" t="s">
        <v>724</v>
      </c>
      <c r="C56" s="2" t="s">
        <v>724</v>
      </c>
      <c r="D56" s="2" t="s">
        <v>725</v>
      </c>
    </row>
    <row r="57" spans="1:4" x14ac:dyDescent="0.35">
      <c r="A57" s="2" t="s">
        <v>3</v>
      </c>
      <c r="B57" s="3" t="s">
        <v>726</v>
      </c>
      <c r="C57" s="2" t="s">
        <v>726</v>
      </c>
      <c r="D57" s="2" t="s">
        <v>727</v>
      </c>
    </row>
    <row r="58" spans="1:4" x14ac:dyDescent="0.35">
      <c r="A58" s="2" t="s">
        <v>3</v>
      </c>
      <c r="B58" s="3" t="s">
        <v>728</v>
      </c>
      <c r="C58" s="2" t="s">
        <v>728</v>
      </c>
      <c r="D58" s="2" t="s">
        <v>729</v>
      </c>
    </row>
    <row r="59" spans="1:4" x14ac:dyDescent="0.35">
      <c r="A59" s="2" t="s">
        <v>3</v>
      </c>
      <c r="B59" s="3" t="s">
        <v>730</v>
      </c>
      <c r="C59" s="2" t="s">
        <v>730</v>
      </c>
      <c r="D59" s="2" t="s">
        <v>731</v>
      </c>
    </row>
    <row r="60" spans="1:4" x14ac:dyDescent="0.35">
      <c r="A60" s="2" t="s">
        <v>3</v>
      </c>
      <c r="B60" s="3" t="s">
        <v>732</v>
      </c>
      <c r="C60" s="2" t="s">
        <v>732</v>
      </c>
      <c r="D60" s="2" t="s">
        <v>733</v>
      </c>
    </row>
    <row r="61" spans="1:4" x14ac:dyDescent="0.35">
      <c r="A61" s="2" t="s">
        <v>3</v>
      </c>
      <c r="B61" s="3" t="s">
        <v>734</v>
      </c>
      <c r="C61" s="2" t="s">
        <v>734</v>
      </c>
      <c r="D61" s="2" t="s">
        <v>735</v>
      </c>
    </row>
    <row r="62" spans="1:4" x14ac:dyDescent="0.35">
      <c r="A62" s="2" t="s">
        <v>3</v>
      </c>
      <c r="B62" s="3" t="s">
        <v>736</v>
      </c>
      <c r="C62" s="2" t="s">
        <v>736</v>
      </c>
      <c r="D62" s="2" t="s">
        <v>737</v>
      </c>
    </row>
    <row r="63" spans="1:4" x14ac:dyDescent="0.35">
      <c r="A63" s="2" t="s">
        <v>3</v>
      </c>
      <c r="B63" s="3" t="s">
        <v>738</v>
      </c>
      <c r="C63" s="2" t="s">
        <v>738</v>
      </c>
      <c r="D63" s="2" t="s">
        <v>739</v>
      </c>
    </row>
    <row r="64" spans="1:4" x14ac:dyDescent="0.35">
      <c r="A64" s="2" t="s">
        <v>3</v>
      </c>
      <c r="B64" s="3" t="s">
        <v>740</v>
      </c>
      <c r="C64" s="2" t="s">
        <v>740</v>
      </c>
      <c r="D64" s="2" t="s">
        <v>741</v>
      </c>
    </row>
    <row r="65" spans="1:4" x14ac:dyDescent="0.35">
      <c r="A65" s="2" t="s">
        <v>3</v>
      </c>
      <c r="B65" s="3" t="s">
        <v>742</v>
      </c>
      <c r="C65" s="2" t="s">
        <v>742</v>
      </c>
      <c r="D65" s="2" t="s">
        <v>743</v>
      </c>
    </row>
    <row r="66" spans="1:4" x14ac:dyDescent="0.35">
      <c r="A66" s="2" t="s">
        <v>3</v>
      </c>
      <c r="B66" s="3" t="s">
        <v>744</v>
      </c>
      <c r="C66" s="2" t="s">
        <v>744</v>
      </c>
      <c r="D66" s="2" t="s">
        <v>743</v>
      </c>
    </row>
    <row r="67" spans="1:4" x14ac:dyDescent="0.35">
      <c r="A67" s="2" t="s">
        <v>3</v>
      </c>
      <c r="B67" s="3" t="s">
        <v>745</v>
      </c>
      <c r="C67" s="2" t="s">
        <v>745</v>
      </c>
      <c r="D67" s="2" t="s">
        <v>746</v>
      </c>
    </row>
    <row r="68" spans="1:4" x14ac:dyDescent="0.35">
      <c r="A68" s="2" t="s">
        <v>3</v>
      </c>
      <c r="B68" s="3" t="s">
        <v>747</v>
      </c>
      <c r="C68" s="2" t="s">
        <v>747</v>
      </c>
      <c r="D68" s="2" t="s">
        <v>748</v>
      </c>
    </row>
    <row r="69" spans="1:4" x14ac:dyDescent="0.35">
      <c r="A69" s="2" t="s">
        <v>3</v>
      </c>
      <c r="B69" s="3" t="s">
        <v>749</v>
      </c>
      <c r="C69" s="2" t="s">
        <v>749</v>
      </c>
      <c r="D69" s="2" t="s">
        <v>750</v>
      </c>
    </row>
    <row r="70" spans="1:4" x14ac:dyDescent="0.35">
      <c r="A70" s="2" t="s">
        <v>3</v>
      </c>
      <c r="B70" s="3" t="s">
        <v>751</v>
      </c>
      <c r="C70" s="2" t="s">
        <v>751</v>
      </c>
      <c r="D70" s="2" t="s">
        <v>750</v>
      </c>
    </row>
    <row r="71" spans="1:4" x14ac:dyDescent="0.35">
      <c r="A71" s="2" t="s">
        <v>3</v>
      </c>
      <c r="B71" s="3" t="s">
        <v>752</v>
      </c>
      <c r="C71" s="2" t="s">
        <v>752</v>
      </c>
      <c r="D71" s="2" t="s">
        <v>753</v>
      </c>
    </row>
    <row r="72" spans="1:4" x14ac:dyDescent="0.35">
      <c r="A72" s="2" t="s">
        <v>3</v>
      </c>
      <c r="B72" s="3" t="s">
        <v>754</v>
      </c>
      <c r="C72" s="2" t="s">
        <v>754</v>
      </c>
      <c r="D72" s="2" t="s">
        <v>755</v>
      </c>
    </row>
    <row r="73" spans="1:4" x14ac:dyDescent="0.35">
      <c r="A73" s="2" t="s">
        <v>3</v>
      </c>
      <c r="B73" s="3" t="s">
        <v>756</v>
      </c>
      <c r="C73" s="2" t="s">
        <v>756</v>
      </c>
      <c r="D73" s="2" t="s">
        <v>757</v>
      </c>
    </row>
    <row r="74" spans="1:4" x14ac:dyDescent="0.35">
      <c r="A74" s="2" t="s">
        <v>3</v>
      </c>
      <c r="B74" s="3" t="s">
        <v>758</v>
      </c>
      <c r="C74" s="2" t="s">
        <v>758</v>
      </c>
      <c r="D74" s="2" t="s">
        <v>759</v>
      </c>
    </row>
    <row r="75" spans="1:4" x14ac:dyDescent="0.35">
      <c r="A75" s="2" t="s">
        <v>3</v>
      </c>
      <c r="B75" s="3" t="s">
        <v>760</v>
      </c>
      <c r="C75" s="2" t="s">
        <v>760</v>
      </c>
      <c r="D75" s="2" t="s">
        <v>761</v>
      </c>
    </row>
    <row r="76" spans="1:4" x14ac:dyDescent="0.35">
      <c r="A76" s="2" t="s">
        <v>3</v>
      </c>
      <c r="B76" s="3" t="s">
        <v>762</v>
      </c>
      <c r="C76" s="2" t="s">
        <v>762</v>
      </c>
      <c r="D76" s="2" t="s">
        <v>763</v>
      </c>
    </row>
    <row r="77" spans="1:4" x14ac:dyDescent="0.35">
      <c r="A77" s="2" t="s">
        <v>3</v>
      </c>
      <c r="B77" s="3" t="s">
        <v>764</v>
      </c>
      <c r="C77" s="2" t="s">
        <v>764</v>
      </c>
      <c r="D77" s="2" t="s">
        <v>765</v>
      </c>
    </row>
    <row r="78" spans="1:4" x14ac:dyDescent="0.35">
      <c r="A78" s="2" t="s">
        <v>3</v>
      </c>
      <c r="B78" s="3" t="s">
        <v>766</v>
      </c>
      <c r="C78" s="2" t="s">
        <v>766</v>
      </c>
      <c r="D78" s="2" t="s">
        <v>767</v>
      </c>
    </row>
    <row r="79" spans="1:4" x14ac:dyDescent="0.35">
      <c r="A79" s="2" t="s">
        <v>3</v>
      </c>
      <c r="B79" s="3" t="s">
        <v>768</v>
      </c>
      <c r="C79" s="2" t="s">
        <v>768</v>
      </c>
      <c r="D79" s="2" t="s">
        <v>769</v>
      </c>
    </row>
    <row r="80" spans="1:4" x14ac:dyDescent="0.35">
      <c r="A80" s="2" t="s">
        <v>3</v>
      </c>
      <c r="B80" s="3" t="s">
        <v>770</v>
      </c>
      <c r="C80" s="2" t="s">
        <v>770</v>
      </c>
      <c r="D80" s="2" t="s">
        <v>771</v>
      </c>
    </row>
    <row r="81" spans="1:4" x14ac:dyDescent="0.35">
      <c r="A81" s="2" t="s">
        <v>3</v>
      </c>
      <c r="B81" s="3" t="s">
        <v>772</v>
      </c>
      <c r="C81" s="2" t="s">
        <v>772</v>
      </c>
      <c r="D81" s="2" t="s">
        <v>771</v>
      </c>
    </row>
    <row r="82" spans="1:4" x14ac:dyDescent="0.35">
      <c r="A82" s="2" t="s">
        <v>3</v>
      </c>
      <c r="B82" s="3" t="s">
        <v>773</v>
      </c>
      <c r="C82" s="2" t="s">
        <v>773</v>
      </c>
      <c r="D82" s="2" t="s">
        <v>774</v>
      </c>
    </row>
    <row r="83" spans="1:4" x14ac:dyDescent="0.35">
      <c r="A83" s="2" t="s">
        <v>3</v>
      </c>
      <c r="B83" s="3" t="s">
        <v>775</v>
      </c>
      <c r="C83" s="2" t="s">
        <v>775</v>
      </c>
      <c r="D83" s="2" t="s">
        <v>771</v>
      </c>
    </row>
    <row r="84" spans="1:4" x14ac:dyDescent="0.35">
      <c r="A84" s="2" t="s">
        <v>3</v>
      </c>
      <c r="B84" s="3" t="s">
        <v>776</v>
      </c>
      <c r="C84" s="2" t="s">
        <v>776</v>
      </c>
      <c r="D84" s="2" t="s">
        <v>777</v>
      </c>
    </row>
    <row r="85" spans="1:4" x14ac:dyDescent="0.35">
      <c r="A85" s="2" t="s">
        <v>3</v>
      </c>
      <c r="B85" s="3" t="s">
        <v>778</v>
      </c>
      <c r="C85" s="2" t="s">
        <v>778</v>
      </c>
      <c r="D85" s="2" t="s">
        <v>774</v>
      </c>
    </row>
    <row r="86" spans="1:4" x14ac:dyDescent="0.35">
      <c r="A86" s="2" t="s">
        <v>3</v>
      </c>
      <c r="B86" s="3" t="s">
        <v>779</v>
      </c>
      <c r="C86" s="2" t="s">
        <v>779</v>
      </c>
      <c r="D86" s="2" t="s">
        <v>771</v>
      </c>
    </row>
    <row r="87" spans="1:4" x14ac:dyDescent="0.35">
      <c r="A87" s="2" t="s">
        <v>3</v>
      </c>
      <c r="B87" s="3" t="s">
        <v>780</v>
      </c>
      <c r="C87" s="2" t="s">
        <v>780</v>
      </c>
      <c r="D87" s="2" t="s">
        <v>777</v>
      </c>
    </row>
    <row r="88" spans="1:4" x14ac:dyDescent="0.35">
      <c r="A88" s="2" t="s">
        <v>3</v>
      </c>
      <c r="B88" s="3" t="s">
        <v>781</v>
      </c>
      <c r="C88" s="2" t="s">
        <v>781</v>
      </c>
      <c r="D88" s="2" t="s">
        <v>782</v>
      </c>
    </row>
    <row r="89" spans="1:4" x14ac:dyDescent="0.35">
      <c r="A89" s="2" t="s">
        <v>3</v>
      </c>
      <c r="B89" s="3" t="s">
        <v>783</v>
      </c>
      <c r="C89" s="2" t="s">
        <v>783</v>
      </c>
      <c r="D89" s="2" t="s">
        <v>784</v>
      </c>
    </row>
    <row r="90" spans="1:4" x14ac:dyDescent="0.35">
      <c r="A90" s="2" t="s">
        <v>3</v>
      </c>
      <c r="B90" s="3" t="s">
        <v>785</v>
      </c>
      <c r="C90" s="2" t="s">
        <v>785</v>
      </c>
      <c r="D90" s="2" t="s">
        <v>786</v>
      </c>
    </row>
    <row r="91" spans="1:4" x14ac:dyDescent="0.35">
      <c r="A91" s="2" t="s">
        <v>3</v>
      </c>
      <c r="B91" s="3" t="s">
        <v>787</v>
      </c>
      <c r="C91" s="2" t="s">
        <v>787</v>
      </c>
      <c r="D91" s="2" t="s">
        <v>788</v>
      </c>
    </row>
    <row r="92" spans="1:4" x14ac:dyDescent="0.35">
      <c r="A92" s="2" t="s">
        <v>3</v>
      </c>
      <c r="B92" s="3" t="s">
        <v>789</v>
      </c>
      <c r="C92" s="2" t="s">
        <v>789</v>
      </c>
      <c r="D92" s="2" t="s">
        <v>788</v>
      </c>
    </row>
    <row r="93" spans="1:4" x14ac:dyDescent="0.35">
      <c r="A93" s="2" t="s">
        <v>3</v>
      </c>
      <c r="B93" s="3" t="s">
        <v>790</v>
      </c>
      <c r="C93" s="2" t="s">
        <v>790</v>
      </c>
      <c r="D93" s="2" t="s">
        <v>788</v>
      </c>
    </row>
    <row r="94" spans="1:4" x14ac:dyDescent="0.35">
      <c r="A94" s="2" t="s">
        <v>3</v>
      </c>
      <c r="B94" s="3" t="s">
        <v>791</v>
      </c>
      <c r="C94" s="2" t="s">
        <v>791</v>
      </c>
      <c r="D94" s="2" t="s">
        <v>788</v>
      </c>
    </row>
    <row r="95" spans="1:4" x14ac:dyDescent="0.35">
      <c r="A95" s="2" t="s">
        <v>3</v>
      </c>
      <c r="B95" s="3" t="s">
        <v>792</v>
      </c>
      <c r="C95" s="2" t="s">
        <v>792</v>
      </c>
      <c r="D95" s="2" t="s">
        <v>788</v>
      </c>
    </row>
    <row r="96" spans="1:4" x14ac:dyDescent="0.35">
      <c r="A96" s="2" t="s">
        <v>3</v>
      </c>
      <c r="B96" s="3" t="s">
        <v>793</v>
      </c>
      <c r="C96" s="2" t="s">
        <v>793</v>
      </c>
      <c r="D96" s="2" t="s">
        <v>788</v>
      </c>
    </row>
    <row r="97" spans="1:4" x14ac:dyDescent="0.35">
      <c r="A97" s="2" t="s">
        <v>3</v>
      </c>
      <c r="B97" s="3" t="s">
        <v>794</v>
      </c>
      <c r="C97" s="2" t="s">
        <v>794</v>
      </c>
      <c r="D97" s="2" t="s">
        <v>795</v>
      </c>
    </row>
    <row r="98" spans="1:4" x14ac:dyDescent="0.35">
      <c r="A98" s="2" t="s">
        <v>3</v>
      </c>
      <c r="B98" s="3" t="s">
        <v>796</v>
      </c>
      <c r="C98" s="2" t="s">
        <v>796</v>
      </c>
      <c r="D98" s="2" t="s">
        <v>788</v>
      </c>
    </row>
    <row r="99" spans="1:4" x14ac:dyDescent="0.35">
      <c r="A99" s="2" t="s">
        <v>3</v>
      </c>
      <c r="B99" s="3" t="s">
        <v>797</v>
      </c>
      <c r="C99" s="2" t="s">
        <v>797</v>
      </c>
      <c r="D99" s="2" t="s">
        <v>798</v>
      </c>
    </row>
    <row r="100" spans="1:4" x14ac:dyDescent="0.35">
      <c r="A100" s="2" t="s">
        <v>3</v>
      </c>
      <c r="B100" s="3" t="s">
        <v>799</v>
      </c>
      <c r="C100" s="2" t="s">
        <v>799</v>
      </c>
      <c r="D100" s="2" t="s">
        <v>800</v>
      </c>
    </row>
    <row r="101" spans="1:4" x14ac:dyDescent="0.35">
      <c r="A101" s="2" t="s">
        <v>3</v>
      </c>
      <c r="B101" s="3" t="s">
        <v>801</v>
      </c>
      <c r="C101" s="2" t="s">
        <v>801</v>
      </c>
      <c r="D101" s="2" t="s">
        <v>802</v>
      </c>
    </row>
    <row r="102" spans="1:4" x14ac:dyDescent="0.35">
      <c r="A102" s="2" t="s">
        <v>3</v>
      </c>
      <c r="B102" s="3" t="s">
        <v>803</v>
      </c>
      <c r="C102" s="2" t="s">
        <v>803</v>
      </c>
      <c r="D102" s="2" t="s">
        <v>795</v>
      </c>
    </row>
    <row r="103" spans="1:4" x14ac:dyDescent="0.35">
      <c r="A103" s="2" t="s">
        <v>3</v>
      </c>
      <c r="B103" s="3" t="s">
        <v>804</v>
      </c>
      <c r="C103" s="2" t="s">
        <v>804</v>
      </c>
      <c r="D103" s="2" t="s">
        <v>788</v>
      </c>
    </row>
    <row r="104" spans="1:4" x14ac:dyDescent="0.35">
      <c r="A104" s="2" t="s">
        <v>3</v>
      </c>
      <c r="B104" s="3" t="s">
        <v>805</v>
      </c>
      <c r="C104" s="2" t="s">
        <v>805</v>
      </c>
      <c r="D104" s="2" t="s">
        <v>798</v>
      </c>
    </row>
    <row r="105" spans="1:4" x14ac:dyDescent="0.35">
      <c r="A105" s="2" t="s">
        <v>3</v>
      </c>
      <c r="B105" s="3" t="s">
        <v>806</v>
      </c>
      <c r="C105" s="2" t="s">
        <v>806</v>
      </c>
      <c r="D105" s="2" t="s">
        <v>800</v>
      </c>
    </row>
    <row r="106" spans="1:4" x14ac:dyDescent="0.35">
      <c r="A106" s="2" t="s">
        <v>3</v>
      </c>
      <c r="B106" s="3" t="s">
        <v>807</v>
      </c>
      <c r="C106" s="2" t="s">
        <v>807</v>
      </c>
      <c r="D106" s="2" t="s">
        <v>802</v>
      </c>
    </row>
    <row r="107" spans="1:4" x14ac:dyDescent="0.35">
      <c r="A107" s="2" t="s">
        <v>3</v>
      </c>
      <c r="B107" s="3" t="s">
        <v>808</v>
      </c>
      <c r="C107" s="2" t="s">
        <v>808</v>
      </c>
      <c r="D107" s="2" t="s">
        <v>798</v>
      </c>
    </row>
    <row r="108" spans="1:4" x14ac:dyDescent="0.35">
      <c r="A108" s="2" t="s">
        <v>3</v>
      </c>
      <c r="B108" s="3" t="s">
        <v>809</v>
      </c>
      <c r="C108" s="2" t="s">
        <v>809</v>
      </c>
      <c r="D108" s="2" t="s">
        <v>810</v>
      </c>
    </row>
    <row r="109" spans="1:4" x14ac:dyDescent="0.35">
      <c r="A109" s="2" t="s">
        <v>3</v>
      </c>
      <c r="B109" s="3" t="s">
        <v>811</v>
      </c>
      <c r="C109" s="2" t="s">
        <v>811</v>
      </c>
      <c r="D109" s="2" t="s">
        <v>812</v>
      </c>
    </row>
    <row r="110" spans="1:4" x14ac:dyDescent="0.35">
      <c r="A110" s="2" t="s">
        <v>3</v>
      </c>
      <c r="B110" s="3" t="s">
        <v>813</v>
      </c>
      <c r="C110" s="2" t="s">
        <v>813</v>
      </c>
      <c r="D110" s="2" t="s">
        <v>814</v>
      </c>
    </row>
    <row r="111" spans="1:4" x14ac:dyDescent="0.35">
      <c r="A111" s="2" t="s">
        <v>3</v>
      </c>
      <c r="B111" s="3" t="s">
        <v>815</v>
      </c>
      <c r="C111" s="2" t="s">
        <v>815</v>
      </c>
      <c r="D111" s="2" t="s">
        <v>816</v>
      </c>
    </row>
    <row r="112" spans="1:4" x14ac:dyDescent="0.35">
      <c r="A112" s="2" t="s">
        <v>3</v>
      </c>
      <c r="B112" s="3" t="s">
        <v>817</v>
      </c>
      <c r="C112" s="2" t="s">
        <v>817</v>
      </c>
      <c r="D112" s="2" t="s">
        <v>818</v>
      </c>
    </row>
    <row r="113" spans="1:4" x14ac:dyDescent="0.35">
      <c r="A113" s="2" t="s">
        <v>3</v>
      </c>
      <c r="B113" s="3" t="s">
        <v>819</v>
      </c>
      <c r="C113" s="2" t="s">
        <v>819</v>
      </c>
      <c r="D113" s="2" t="s">
        <v>820</v>
      </c>
    </row>
    <row r="114" spans="1:4" x14ac:dyDescent="0.35">
      <c r="A114" s="2" t="s">
        <v>3</v>
      </c>
      <c r="B114" s="3" t="s">
        <v>821</v>
      </c>
      <c r="C114" s="2" t="s">
        <v>821</v>
      </c>
      <c r="D114" s="2" t="s">
        <v>822</v>
      </c>
    </row>
    <row r="115" spans="1:4" x14ac:dyDescent="0.35">
      <c r="A115" s="2" t="s">
        <v>3</v>
      </c>
      <c r="B115" s="3" t="s">
        <v>823</v>
      </c>
      <c r="C115" s="2" t="s">
        <v>823</v>
      </c>
      <c r="D115" s="2" t="s">
        <v>822</v>
      </c>
    </row>
    <row r="116" spans="1:4" x14ac:dyDescent="0.35">
      <c r="A116" s="2" t="s">
        <v>3</v>
      </c>
      <c r="B116" s="3" t="s">
        <v>824</v>
      </c>
      <c r="C116" s="2" t="s">
        <v>824</v>
      </c>
      <c r="D116" s="2" t="s">
        <v>825</v>
      </c>
    </row>
    <row r="117" spans="1:4" x14ac:dyDescent="0.35">
      <c r="A117" s="2" t="s">
        <v>3</v>
      </c>
      <c r="B117" s="3" t="s">
        <v>826</v>
      </c>
      <c r="C117" s="2" t="s">
        <v>826</v>
      </c>
      <c r="D117" s="2" t="s">
        <v>822</v>
      </c>
    </row>
    <row r="118" spans="1:4" x14ac:dyDescent="0.35">
      <c r="A118" s="2" t="s">
        <v>3</v>
      </c>
      <c r="B118" s="3" t="s">
        <v>827</v>
      </c>
      <c r="C118" s="2" t="s">
        <v>827</v>
      </c>
      <c r="D118" s="2" t="s">
        <v>828</v>
      </c>
    </row>
    <row r="119" spans="1:4" x14ac:dyDescent="0.35">
      <c r="A119" s="2" t="s">
        <v>3</v>
      </c>
      <c r="B119" s="3" t="s">
        <v>829</v>
      </c>
      <c r="C119" s="2" t="s">
        <v>829</v>
      </c>
      <c r="D119" s="2" t="s">
        <v>825</v>
      </c>
    </row>
    <row r="120" spans="1:4" x14ac:dyDescent="0.35">
      <c r="A120" s="2" t="s">
        <v>3</v>
      </c>
      <c r="B120" s="3" t="s">
        <v>830</v>
      </c>
      <c r="C120" s="2" t="s">
        <v>830</v>
      </c>
      <c r="D120" s="2" t="s">
        <v>822</v>
      </c>
    </row>
    <row r="121" spans="1:4" x14ac:dyDescent="0.35">
      <c r="A121" s="2" t="s">
        <v>3</v>
      </c>
      <c r="B121" s="3" t="s">
        <v>831</v>
      </c>
      <c r="C121" s="2" t="s">
        <v>831</v>
      </c>
      <c r="D121" s="2" t="s">
        <v>828</v>
      </c>
    </row>
    <row r="122" spans="1:4" x14ac:dyDescent="0.35">
      <c r="A122" s="2" t="s">
        <v>3</v>
      </c>
      <c r="B122" s="3" t="s">
        <v>832</v>
      </c>
      <c r="C122" s="2" t="s">
        <v>832</v>
      </c>
      <c r="D122" s="2" t="s">
        <v>833</v>
      </c>
    </row>
    <row r="123" spans="1:4" x14ac:dyDescent="0.35">
      <c r="A123" s="2" t="s">
        <v>3</v>
      </c>
      <c r="B123" s="3" t="s">
        <v>834</v>
      </c>
      <c r="C123" s="2" t="s">
        <v>834</v>
      </c>
      <c r="D123" s="2" t="s">
        <v>833</v>
      </c>
    </row>
    <row r="124" spans="1:4" x14ac:dyDescent="0.35">
      <c r="A124" s="2" t="s">
        <v>3</v>
      </c>
      <c r="B124" s="3" t="s">
        <v>835</v>
      </c>
      <c r="C124" s="2" t="s">
        <v>835</v>
      </c>
      <c r="D124" s="2" t="s">
        <v>822</v>
      </c>
    </row>
    <row r="125" spans="1:4" x14ac:dyDescent="0.35">
      <c r="A125" s="2" t="s">
        <v>3</v>
      </c>
      <c r="B125" s="3" t="s">
        <v>836</v>
      </c>
      <c r="C125" s="2" t="s">
        <v>836</v>
      </c>
      <c r="D125" s="2" t="s">
        <v>837</v>
      </c>
    </row>
    <row r="126" spans="1:4" x14ac:dyDescent="0.35">
      <c r="A126" s="2" t="s">
        <v>3</v>
      </c>
      <c r="B126" s="3" t="s">
        <v>838</v>
      </c>
      <c r="C126" s="2" t="s">
        <v>838</v>
      </c>
      <c r="D126" s="2" t="s">
        <v>839</v>
      </c>
    </row>
    <row r="127" spans="1:4" x14ac:dyDescent="0.35">
      <c r="A127" s="2" t="s">
        <v>3</v>
      </c>
      <c r="B127" s="3" t="s">
        <v>840</v>
      </c>
      <c r="C127" s="2" t="s">
        <v>840</v>
      </c>
      <c r="D127" s="2" t="s">
        <v>841</v>
      </c>
    </row>
    <row r="128" spans="1:4" x14ac:dyDescent="0.35">
      <c r="A128" s="2" t="s">
        <v>3</v>
      </c>
      <c r="B128" s="3" t="s">
        <v>842</v>
      </c>
      <c r="C128" s="2" t="s">
        <v>842</v>
      </c>
      <c r="D128" s="2" t="s">
        <v>841</v>
      </c>
    </row>
    <row r="129" spans="1:4" x14ac:dyDescent="0.35">
      <c r="A129" s="2" t="s">
        <v>3</v>
      </c>
      <c r="B129" s="3" t="s">
        <v>843</v>
      </c>
      <c r="C129" s="2" t="s">
        <v>843</v>
      </c>
      <c r="D129" s="2" t="s">
        <v>841</v>
      </c>
    </row>
    <row r="130" spans="1:4" x14ac:dyDescent="0.35">
      <c r="A130" s="2" t="s">
        <v>3</v>
      </c>
      <c r="B130" s="3" t="s">
        <v>844</v>
      </c>
      <c r="C130" s="2" t="s">
        <v>844</v>
      </c>
      <c r="D130" s="2" t="s">
        <v>841</v>
      </c>
    </row>
    <row r="131" spans="1:4" x14ac:dyDescent="0.35">
      <c r="A131" s="2" t="s">
        <v>3</v>
      </c>
      <c r="B131" s="3" t="s">
        <v>845</v>
      </c>
      <c r="C131" s="2" t="s">
        <v>845</v>
      </c>
      <c r="D131" s="2" t="s">
        <v>841</v>
      </c>
    </row>
    <row r="132" spans="1:4" x14ac:dyDescent="0.35">
      <c r="A132" s="2" t="s">
        <v>3</v>
      </c>
      <c r="B132" s="3" t="s">
        <v>846</v>
      </c>
      <c r="C132" s="2" t="s">
        <v>846</v>
      </c>
      <c r="D132" s="2" t="s">
        <v>847</v>
      </c>
    </row>
    <row r="133" spans="1:4" x14ac:dyDescent="0.35">
      <c r="A133" s="2" t="s">
        <v>3</v>
      </c>
      <c r="B133" s="3" t="s">
        <v>848</v>
      </c>
      <c r="C133" s="2" t="s">
        <v>848</v>
      </c>
      <c r="D133" s="2" t="s">
        <v>841</v>
      </c>
    </row>
    <row r="134" spans="1:4" x14ac:dyDescent="0.35">
      <c r="A134" s="2" t="s">
        <v>3</v>
      </c>
      <c r="B134" s="3" t="s">
        <v>849</v>
      </c>
      <c r="C134" s="2" t="s">
        <v>849</v>
      </c>
      <c r="D134" s="2" t="s">
        <v>847</v>
      </c>
    </row>
    <row r="135" spans="1:4" x14ac:dyDescent="0.35">
      <c r="A135" s="2" t="s">
        <v>3</v>
      </c>
      <c r="B135" s="3" t="s">
        <v>850</v>
      </c>
      <c r="C135" s="2" t="s">
        <v>850</v>
      </c>
      <c r="D135" s="2" t="s">
        <v>841</v>
      </c>
    </row>
    <row r="136" spans="1:4" x14ac:dyDescent="0.35">
      <c r="A136" s="2" t="s">
        <v>3</v>
      </c>
      <c r="B136" s="3" t="s">
        <v>851</v>
      </c>
      <c r="C136" s="2" t="s">
        <v>851</v>
      </c>
      <c r="D136" s="2" t="s">
        <v>852</v>
      </c>
    </row>
    <row r="137" spans="1:4" x14ac:dyDescent="0.35">
      <c r="A137" s="2" t="s">
        <v>3</v>
      </c>
      <c r="B137" s="3" t="s">
        <v>853</v>
      </c>
      <c r="C137" s="2" t="s">
        <v>853</v>
      </c>
      <c r="D137" s="2" t="s">
        <v>854</v>
      </c>
    </row>
    <row r="138" spans="1:4" x14ac:dyDescent="0.35">
      <c r="A138" s="2" t="s">
        <v>3</v>
      </c>
      <c r="B138" s="3" t="s">
        <v>855</v>
      </c>
      <c r="C138" s="2" t="s">
        <v>855</v>
      </c>
      <c r="D138" s="2" t="s">
        <v>856</v>
      </c>
    </row>
    <row r="139" spans="1:4" x14ac:dyDescent="0.35">
      <c r="A139" s="2" t="s">
        <v>3</v>
      </c>
      <c r="B139" s="3" t="s">
        <v>857</v>
      </c>
      <c r="C139" s="2" t="s">
        <v>857</v>
      </c>
      <c r="D139" s="2" t="s">
        <v>841</v>
      </c>
    </row>
    <row r="140" spans="1:4" x14ac:dyDescent="0.35">
      <c r="A140" s="2" t="s">
        <v>3</v>
      </c>
      <c r="B140" s="3" t="s">
        <v>858</v>
      </c>
      <c r="C140" s="2" t="s">
        <v>858</v>
      </c>
      <c r="D140" s="2" t="s">
        <v>856</v>
      </c>
    </row>
    <row r="141" spans="1:4" x14ac:dyDescent="0.35">
      <c r="A141" s="2" t="s">
        <v>3</v>
      </c>
      <c r="B141" s="3" t="s">
        <v>859</v>
      </c>
      <c r="C141" s="2" t="s">
        <v>859</v>
      </c>
      <c r="D141" s="2" t="s">
        <v>852</v>
      </c>
    </row>
    <row r="142" spans="1:4" x14ac:dyDescent="0.35">
      <c r="A142" s="2" t="s">
        <v>3</v>
      </c>
      <c r="B142" s="3" t="s">
        <v>860</v>
      </c>
      <c r="C142" s="2" t="s">
        <v>860</v>
      </c>
      <c r="D142" s="2" t="s">
        <v>852</v>
      </c>
    </row>
    <row r="143" spans="1:4" x14ac:dyDescent="0.35">
      <c r="A143" s="2" t="s">
        <v>3</v>
      </c>
      <c r="B143" s="3" t="s">
        <v>861</v>
      </c>
      <c r="C143" s="2" t="s">
        <v>861</v>
      </c>
      <c r="D143" s="2" t="s">
        <v>854</v>
      </c>
    </row>
    <row r="144" spans="1:4" x14ac:dyDescent="0.35">
      <c r="A144" s="2" t="s">
        <v>3</v>
      </c>
      <c r="B144" s="3" t="s">
        <v>862</v>
      </c>
      <c r="C144" s="2" t="s">
        <v>862</v>
      </c>
      <c r="D144" s="2" t="s">
        <v>856</v>
      </c>
    </row>
    <row r="145" spans="1:4" x14ac:dyDescent="0.35">
      <c r="A145" s="2" t="s">
        <v>3</v>
      </c>
      <c r="B145" s="3" t="s">
        <v>863</v>
      </c>
      <c r="C145" s="2" t="s">
        <v>863</v>
      </c>
      <c r="D145" s="2" t="s">
        <v>841</v>
      </c>
    </row>
    <row r="146" spans="1:4" x14ac:dyDescent="0.35">
      <c r="A146" s="2" t="s">
        <v>3</v>
      </c>
      <c r="B146" s="3" t="s">
        <v>864</v>
      </c>
      <c r="C146" s="2" t="s">
        <v>864</v>
      </c>
      <c r="D146" s="2" t="s">
        <v>856</v>
      </c>
    </row>
    <row r="147" spans="1:4" x14ac:dyDescent="0.35">
      <c r="A147" s="2" t="s">
        <v>3</v>
      </c>
      <c r="B147" s="3" t="s">
        <v>865</v>
      </c>
      <c r="C147" s="2" t="s">
        <v>865</v>
      </c>
      <c r="D147" s="2" t="s">
        <v>841</v>
      </c>
    </row>
    <row r="148" spans="1:4" x14ac:dyDescent="0.35">
      <c r="A148" s="2" t="s">
        <v>3</v>
      </c>
      <c r="B148" s="3" t="s">
        <v>866</v>
      </c>
      <c r="C148" s="2" t="s">
        <v>866</v>
      </c>
      <c r="D148" s="2" t="s">
        <v>867</v>
      </c>
    </row>
    <row r="149" spans="1:4" x14ac:dyDescent="0.35">
      <c r="A149" s="2" t="s">
        <v>3</v>
      </c>
      <c r="B149" s="3" t="s">
        <v>868</v>
      </c>
      <c r="C149" s="2" t="s">
        <v>868</v>
      </c>
      <c r="D149" s="2" t="s">
        <v>867</v>
      </c>
    </row>
    <row r="150" spans="1:4" x14ac:dyDescent="0.35">
      <c r="A150" s="2" t="s">
        <v>3</v>
      </c>
      <c r="B150" s="3" t="s">
        <v>869</v>
      </c>
      <c r="C150" s="2" t="s">
        <v>869</v>
      </c>
      <c r="D150" s="2" t="s">
        <v>870</v>
      </c>
    </row>
    <row r="151" spans="1:4" x14ac:dyDescent="0.35">
      <c r="A151" s="2" t="s">
        <v>3</v>
      </c>
      <c r="B151" s="3" t="s">
        <v>871</v>
      </c>
      <c r="C151" s="2" t="s">
        <v>871</v>
      </c>
      <c r="D151" s="2" t="s">
        <v>872</v>
      </c>
    </row>
    <row r="152" spans="1:4" x14ac:dyDescent="0.35">
      <c r="A152" s="2" t="s">
        <v>3</v>
      </c>
      <c r="B152" s="3" t="s">
        <v>873</v>
      </c>
      <c r="C152" s="2" t="s">
        <v>873</v>
      </c>
      <c r="D152" s="2" t="s">
        <v>874</v>
      </c>
    </row>
    <row r="153" spans="1:4" x14ac:dyDescent="0.35">
      <c r="A153" s="2" t="s">
        <v>3</v>
      </c>
      <c r="B153" s="3" t="s">
        <v>875</v>
      </c>
      <c r="C153" s="2" t="s">
        <v>875</v>
      </c>
      <c r="D153" s="2" t="s">
        <v>876</v>
      </c>
    </row>
    <row r="154" spans="1:4" x14ac:dyDescent="0.35">
      <c r="A154" s="2" t="s">
        <v>3</v>
      </c>
      <c r="B154" s="3" t="s">
        <v>877</v>
      </c>
      <c r="C154" s="2" t="s">
        <v>877</v>
      </c>
      <c r="D154" s="2" t="s">
        <v>878</v>
      </c>
    </row>
    <row r="155" spans="1:4" x14ac:dyDescent="0.35">
      <c r="A155" s="2" t="s">
        <v>3</v>
      </c>
      <c r="B155" s="3" t="s">
        <v>879</v>
      </c>
      <c r="C155" s="2" t="s">
        <v>879</v>
      </c>
      <c r="D155" s="2" t="s">
        <v>880</v>
      </c>
    </row>
    <row r="156" spans="1:4" x14ac:dyDescent="0.35">
      <c r="A156" s="2" t="s">
        <v>3</v>
      </c>
      <c r="B156" s="3" t="s">
        <v>881</v>
      </c>
      <c r="C156" s="2" t="s">
        <v>881</v>
      </c>
      <c r="D156" s="2" t="s">
        <v>880</v>
      </c>
    </row>
    <row r="157" spans="1:4" x14ac:dyDescent="0.35">
      <c r="A157" s="2" t="s">
        <v>3</v>
      </c>
      <c r="B157" s="3" t="s">
        <v>882</v>
      </c>
      <c r="C157" s="2" t="s">
        <v>882</v>
      </c>
      <c r="D157" s="2" t="s">
        <v>883</v>
      </c>
    </row>
    <row r="158" spans="1:4" x14ac:dyDescent="0.35">
      <c r="A158" s="2" t="s">
        <v>3</v>
      </c>
      <c r="B158" s="3" t="s">
        <v>884</v>
      </c>
      <c r="C158" s="2" t="s">
        <v>884</v>
      </c>
      <c r="D158" s="2" t="s">
        <v>885</v>
      </c>
    </row>
    <row r="159" spans="1:4" x14ac:dyDescent="0.35">
      <c r="A159" s="2" t="s">
        <v>3</v>
      </c>
      <c r="B159" s="3" t="s">
        <v>886</v>
      </c>
      <c r="C159" s="2" t="s">
        <v>886</v>
      </c>
      <c r="D159" s="2" t="s">
        <v>887</v>
      </c>
    </row>
    <row r="160" spans="1:4" x14ac:dyDescent="0.35">
      <c r="A160" s="2" t="s">
        <v>3</v>
      </c>
      <c r="B160" s="3" t="s">
        <v>888</v>
      </c>
      <c r="C160" s="2" t="s">
        <v>888</v>
      </c>
      <c r="D160" s="2" t="s">
        <v>883</v>
      </c>
    </row>
    <row r="161" spans="1:4" x14ac:dyDescent="0.35">
      <c r="A161" s="2" t="s">
        <v>3</v>
      </c>
      <c r="B161" s="3" t="s">
        <v>889</v>
      </c>
      <c r="C161" s="2" t="s">
        <v>889</v>
      </c>
      <c r="D161" s="2" t="s">
        <v>885</v>
      </c>
    </row>
    <row r="162" spans="1:4" x14ac:dyDescent="0.35">
      <c r="A162" s="2" t="s">
        <v>3</v>
      </c>
      <c r="B162" s="3" t="s">
        <v>890</v>
      </c>
      <c r="C162" s="2" t="s">
        <v>890</v>
      </c>
      <c r="D162" s="2" t="s">
        <v>887</v>
      </c>
    </row>
    <row r="163" spans="1:4" x14ac:dyDescent="0.35">
      <c r="A163" s="2" t="s">
        <v>3</v>
      </c>
      <c r="B163" s="3" t="s">
        <v>891</v>
      </c>
      <c r="C163" s="2" t="s">
        <v>891</v>
      </c>
      <c r="D163" s="2" t="s">
        <v>885</v>
      </c>
    </row>
    <row r="164" spans="1:4" x14ac:dyDescent="0.35">
      <c r="A164" s="2" t="s">
        <v>3</v>
      </c>
      <c r="B164" s="3" t="s">
        <v>892</v>
      </c>
      <c r="C164" s="2" t="s">
        <v>892</v>
      </c>
      <c r="D164" s="2" t="s">
        <v>885</v>
      </c>
    </row>
    <row r="165" spans="1:4" x14ac:dyDescent="0.35">
      <c r="A165" s="2" t="s">
        <v>3</v>
      </c>
      <c r="B165" s="3" t="s">
        <v>893</v>
      </c>
      <c r="C165" s="2" t="s">
        <v>893</v>
      </c>
      <c r="D165" s="2" t="s">
        <v>885</v>
      </c>
    </row>
    <row r="166" spans="1:4" x14ac:dyDescent="0.35">
      <c r="A166" s="2" t="s">
        <v>3</v>
      </c>
      <c r="B166" s="3" t="s">
        <v>894</v>
      </c>
      <c r="C166" s="2" t="s">
        <v>894</v>
      </c>
      <c r="D166" s="2" t="s">
        <v>880</v>
      </c>
    </row>
    <row r="167" spans="1:4" x14ac:dyDescent="0.35">
      <c r="A167" s="2" t="s">
        <v>3</v>
      </c>
      <c r="B167" s="3" t="s">
        <v>895</v>
      </c>
      <c r="C167" s="2" t="s">
        <v>895</v>
      </c>
      <c r="D167" s="2" t="s">
        <v>896</v>
      </c>
    </row>
    <row r="168" spans="1:4" x14ac:dyDescent="0.35">
      <c r="A168" s="2" t="s">
        <v>3</v>
      </c>
      <c r="B168" s="3" t="s">
        <v>897</v>
      </c>
      <c r="C168" s="2" t="s">
        <v>897</v>
      </c>
      <c r="D168" s="2" t="s">
        <v>898</v>
      </c>
    </row>
    <row r="169" spans="1:4" x14ac:dyDescent="0.35">
      <c r="A169" s="2" t="s">
        <v>3</v>
      </c>
      <c r="B169" s="3" t="s">
        <v>899</v>
      </c>
      <c r="C169" s="2" t="s">
        <v>899</v>
      </c>
      <c r="D169" s="2" t="s">
        <v>900</v>
      </c>
    </row>
    <row r="170" spans="1:4" x14ac:dyDescent="0.35">
      <c r="A170" s="2" t="s">
        <v>3</v>
      </c>
      <c r="B170" s="3" t="s">
        <v>901</v>
      </c>
      <c r="C170" s="2" t="s">
        <v>901</v>
      </c>
      <c r="D170" s="2" t="s">
        <v>900</v>
      </c>
    </row>
    <row r="171" spans="1:4" x14ac:dyDescent="0.35">
      <c r="A171" s="2" t="s">
        <v>3</v>
      </c>
      <c r="B171" s="3" t="s">
        <v>902</v>
      </c>
      <c r="C171" s="2" t="s">
        <v>902</v>
      </c>
      <c r="D171" s="2" t="s">
        <v>900</v>
      </c>
    </row>
    <row r="172" spans="1:4" x14ac:dyDescent="0.35">
      <c r="A172" s="2" t="s">
        <v>3</v>
      </c>
      <c r="B172" s="3" t="s">
        <v>903</v>
      </c>
      <c r="C172" s="2" t="s">
        <v>903</v>
      </c>
      <c r="D172" s="2" t="s">
        <v>900</v>
      </c>
    </row>
    <row r="173" spans="1:4" x14ac:dyDescent="0.35">
      <c r="A173" s="2" t="s">
        <v>3</v>
      </c>
      <c r="B173" s="3" t="s">
        <v>904</v>
      </c>
      <c r="C173" s="2" t="s">
        <v>904</v>
      </c>
      <c r="D173" s="2" t="s">
        <v>900</v>
      </c>
    </row>
    <row r="174" spans="1:4" x14ac:dyDescent="0.35">
      <c r="A174" s="2" t="s">
        <v>3</v>
      </c>
      <c r="B174" s="3" t="s">
        <v>905</v>
      </c>
      <c r="C174" s="2" t="s">
        <v>905</v>
      </c>
      <c r="D174" s="2" t="s">
        <v>906</v>
      </c>
    </row>
    <row r="175" spans="1:4" x14ac:dyDescent="0.35">
      <c r="A175" s="2" t="s">
        <v>3</v>
      </c>
      <c r="B175" s="3" t="s">
        <v>907</v>
      </c>
      <c r="C175" s="2" t="s">
        <v>907</v>
      </c>
      <c r="D175" s="2" t="s">
        <v>900</v>
      </c>
    </row>
    <row r="176" spans="1:4" x14ac:dyDescent="0.35">
      <c r="A176" s="2" t="s">
        <v>3</v>
      </c>
      <c r="B176" s="3" t="s">
        <v>908</v>
      </c>
      <c r="C176" s="2" t="s">
        <v>908</v>
      </c>
      <c r="D176" s="2" t="s">
        <v>909</v>
      </c>
    </row>
    <row r="177" spans="1:10" x14ac:dyDescent="0.35">
      <c r="A177" s="2" t="s">
        <v>3</v>
      </c>
      <c r="B177" s="3" t="s">
        <v>910</v>
      </c>
      <c r="C177" s="2" t="s">
        <v>910</v>
      </c>
      <c r="D177" s="2" t="s">
        <v>911</v>
      </c>
    </row>
    <row r="178" spans="1:10" x14ac:dyDescent="0.35">
      <c r="A178" s="2" t="s">
        <v>3</v>
      </c>
      <c r="B178" s="3" t="s">
        <v>912</v>
      </c>
      <c r="C178" s="2" t="s">
        <v>912</v>
      </c>
      <c r="D178" s="2" t="s">
        <v>906</v>
      </c>
    </row>
    <row r="179" spans="1:10" x14ac:dyDescent="0.35">
      <c r="A179" s="2" t="s">
        <v>3</v>
      </c>
      <c r="B179" s="3" t="s">
        <v>913</v>
      </c>
      <c r="C179" s="2" t="s">
        <v>913</v>
      </c>
      <c r="D179" s="2" t="s">
        <v>900</v>
      </c>
    </row>
    <row r="180" spans="1:10" x14ac:dyDescent="0.35">
      <c r="A180" s="2" t="s">
        <v>3</v>
      </c>
      <c r="B180" s="3" t="s">
        <v>914</v>
      </c>
      <c r="C180" s="2" t="s">
        <v>914</v>
      </c>
      <c r="D180" s="2" t="s">
        <v>915</v>
      </c>
    </row>
    <row r="181" spans="1:10" x14ac:dyDescent="0.35">
      <c r="A181" s="2" t="s">
        <v>3</v>
      </c>
      <c r="B181" s="3" t="s">
        <v>916</v>
      </c>
      <c r="C181" s="2" t="s">
        <v>916</v>
      </c>
      <c r="D181" s="2" t="s">
        <v>917</v>
      </c>
    </row>
    <row r="182" spans="1:10" x14ac:dyDescent="0.35">
      <c r="A182" s="2" t="s">
        <v>3</v>
      </c>
      <c r="B182" s="3" t="s">
        <v>918</v>
      </c>
      <c r="C182" s="2" t="s">
        <v>918</v>
      </c>
      <c r="D182" s="2" t="s">
        <v>919</v>
      </c>
    </row>
    <row r="183" spans="1:10" x14ac:dyDescent="0.35">
      <c r="A183" s="2" t="s">
        <v>3</v>
      </c>
      <c r="B183" s="3" t="s">
        <v>920</v>
      </c>
      <c r="C183" s="2" t="s">
        <v>920</v>
      </c>
      <c r="D183" s="2" t="s">
        <v>921</v>
      </c>
    </row>
    <row r="184" spans="1:10" x14ac:dyDescent="0.35">
      <c r="A184" s="2" t="s">
        <v>3</v>
      </c>
      <c r="B184" s="3" t="s">
        <v>922</v>
      </c>
      <c r="C184" s="2" t="s">
        <v>922</v>
      </c>
      <c r="D184" s="2" t="s">
        <v>919</v>
      </c>
    </row>
    <row r="185" spans="1:10" x14ac:dyDescent="0.35">
      <c r="A185" s="2" t="s">
        <v>3</v>
      </c>
      <c r="B185" s="3" t="s">
        <v>923</v>
      </c>
      <c r="C185" s="2" t="s">
        <v>923</v>
      </c>
      <c r="D185" s="2" t="s">
        <v>924</v>
      </c>
    </row>
    <row r="186" spans="1:10" x14ac:dyDescent="0.35">
      <c r="A186" s="2" t="s">
        <v>3</v>
      </c>
      <c r="B186" s="3" t="s">
        <v>925</v>
      </c>
      <c r="C186" s="2" t="s">
        <v>925</v>
      </c>
      <c r="D186" s="2" t="s">
        <v>900</v>
      </c>
    </row>
    <row r="187" spans="1:10" x14ac:dyDescent="0.35">
      <c r="A187" s="2" t="s">
        <v>3</v>
      </c>
      <c r="B187" s="3" t="s">
        <v>926</v>
      </c>
      <c r="C187" s="2" t="s">
        <v>926</v>
      </c>
      <c r="D187" s="2" t="s">
        <v>919</v>
      </c>
    </row>
    <row r="188" spans="1:10" x14ac:dyDescent="0.35">
      <c r="A188" s="2" t="s">
        <v>3</v>
      </c>
      <c r="B188" s="3" t="s">
        <v>927</v>
      </c>
      <c r="C188" s="2" t="s">
        <v>927</v>
      </c>
      <c r="D188" s="2" t="s">
        <v>921</v>
      </c>
    </row>
    <row r="189" spans="1:10" x14ac:dyDescent="0.35">
      <c r="A189" s="2" t="s">
        <v>3</v>
      </c>
      <c r="B189" s="3" t="s">
        <v>928</v>
      </c>
      <c r="C189" s="2" t="s">
        <v>928</v>
      </c>
      <c r="D189" s="2" t="s">
        <v>919</v>
      </c>
    </row>
    <row r="190" spans="1:10" x14ac:dyDescent="0.35">
      <c r="A190" s="2" t="s">
        <v>3</v>
      </c>
      <c r="B190" s="3" t="s">
        <v>929</v>
      </c>
      <c r="C190" s="2" t="s">
        <v>929</v>
      </c>
      <c r="D190" s="2" t="s">
        <v>924</v>
      </c>
    </row>
    <row r="191" spans="1:10" x14ac:dyDescent="0.35">
      <c r="A191" s="2" t="s">
        <v>3</v>
      </c>
      <c r="B191" s="3" t="s">
        <v>930</v>
      </c>
      <c r="C191" s="2" t="s">
        <v>930</v>
      </c>
      <c r="D191" s="2" t="s">
        <v>921</v>
      </c>
    </row>
    <row r="192" spans="1:10" x14ac:dyDescent="0.35">
      <c r="A192" s="2" t="s">
        <v>3</v>
      </c>
      <c r="B192" s="3" t="s">
        <v>931</v>
      </c>
      <c r="C192" s="2" t="s">
        <v>931</v>
      </c>
      <c r="D192" s="2" t="s">
        <v>921</v>
      </c>
      <c r="J192" t="s">
        <v>1476</v>
      </c>
    </row>
    <row r="193" spans="1:4" x14ac:dyDescent="0.35">
      <c r="A193" s="2" t="s">
        <v>3</v>
      </c>
      <c r="B193" s="3" t="s">
        <v>932</v>
      </c>
      <c r="C193" s="2" t="s">
        <v>932</v>
      </c>
      <c r="D193" s="2" t="s">
        <v>919</v>
      </c>
    </row>
    <row r="194" spans="1:4" x14ac:dyDescent="0.35">
      <c r="A194" s="2" t="s">
        <v>3</v>
      </c>
      <c r="B194" s="3" t="s">
        <v>933</v>
      </c>
      <c r="C194" s="2" t="s">
        <v>933</v>
      </c>
      <c r="D194" s="2" t="s">
        <v>921</v>
      </c>
    </row>
    <row r="195" spans="1:4" x14ac:dyDescent="0.35">
      <c r="A195" s="2" t="s">
        <v>3</v>
      </c>
      <c r="B195" s="3" t="s">
        <v>934</v>
      </c>
      <c r="C195" s="2" t="s">
        <v>934</v>
      </c>
      <c r="D195" s="2" t="s">
        <v>919</v>
      </c>
    </row>
    <row r="196" spans="1:4" x14ac:dyDescent="0.35">
      <c r="A196" s="2" t="s">
        <v>3</v>
      </c>
      <c r="B196" s="3" t="s">
        <v>935</v>
      </c>
      <c r="C196" s="2" t="s">
        <v>935</v>
      </c>
      <c r="D196" s="2" t="s">
        <v>924</v>
      </c>
    </row>
    <row r="197" spans="1:4" x14ac:dyDescent="0.35">
      <c r="A197" s="2" t="s">
        <v>3</v>
      </c>
      <c r="B197" s="3" t="s">
        <v>936</v>
      </c>
      <c r="C197" s="2" t="s">
        <v>936</v>
      </c>
      <c r="D197" s="2" t="s">
        <v>900</v>
      </c>
    </row>
    <row r="198" spans="1:4" x14ac:dyDescent="0.35">
      <c r="A198" s="2" t="s">
        <v>3</v>
      </c>
      <c r="B198" s="3" t="s">
        <v>937</v>
      </c>
      <c r="C198" s="2" t="s">
        <v>937</v>
      </c>
      <c r="D198" s="2" t="s">
        <v>919</v>
      </c>
    </row>
    <row r="199" spans="1:4" x14ac:dyDescent="0.35">
      <c r="A199" s="2" t="s">
        <v>3</v>
      </c>
      <c r="B199" s="3" t="s">
        <v>938</v>
      </c>
      <c r="C199" s="2" t="s">
        <v>938</v>
      </c>
      <c r="D199" s="2" t="s">
        <v>921</v>
      </c>
    </row>
    <row r="200" spans="1:4" x14ac:dyDescent="0.35">
      <c r="A200" s="2" t="s">
        <v>3</v>
      </c>
      <c r="B200" s="3" t="s">
        <v>939</v>
      </c>
      <c r="C200" s="2" t="s">
        <v>939</v>
      </c>
      <c r="D200" s="2" t="s">
        <v>919</v>
      </c>
    </row>
    <row r="201" spans="1:4" x14ac:dyDescent="0.35">
      <c r="A201" s="2" t="s">
        <v>3</v>
      </c>
      <c r="B201" s="3" t="s">
        <v>940</v>
      </c>
      <c r="C201" s="2" t="s">
        <v>940</v>
      </c>
      <c r="D201" s="2" t="s">
        <v>924</v>
      </c>
    </row>
    <row r="202" spans="1:4" x14ac:dyDescent="0.35">
      <c r="A202" s="2" t="s">
        <v>3</v>
      </c>
      <c r="B202" s="3" t="s">
        <v>941</v>
      </c>
      <c r="C202" s="2" t="s">
        <v>941</v>
      </c>
      <c r="D202" s="2" t="s">
        <v>900</v>
      </c>
    </row>
    <row r="203" spans="1:4" x14ac:dyDescent="0.35">
      <c r="A203" s="2" t="s">
        <v>3</v>
      </c>
      <c r="B203" s="3" t="s">
        <v>942</v>
      </c>
      <c r="C203" s="2" t="s">
        <v>942</v>
      </c>
      <c r="D203" s="2" t="s">
        <v>900</v>
      </c>
    </row>
    <row r="204" spans="1:4" x14ac:dyDescent="0.35">
      <c r="A204" s="2" t="s">
        <v>3</v>
      </c>
      <c r="B204" s="3" t="s">
        <v>943</v>
      </c>
      <c r="C204" s="2" t="s">
        <v>943</v>
      </c>
      <c r="D204" s="2" t="s">
        <v>944</v>
      </c>
    </row>
    <row r="205" spans="1:4" x14ac:dyDescent="0.35">
      <c r="A205" s="2" t="s">
        <v>3</v>
      </c>
      <c r="B205" s="3" t="s">
        <v>945</v>
      </c>
      <c r="C205" s="2" t="s">
        <v>945</v>
      </c>
      <c r="D205" s="2" t="s">
        <v>944</v>
      </c>
    </row>
    <row r="206" spans="1:4" x14ac:dyDescent="0.35">
      <c r="A206" s="2" t="s">
        <v>3</v>
      </c>
      <c r="B206" s="3" t="s">
        <v>946</v>
      </c>
      <c r="C206" s="2" t="s">
        <v>946</v>
      </c>
      <c r="D206" s="2" t="s">
        <v>944</v>
      </c>
    </row>
    <row r="207" spans="1:4" x14ac:dyDescent="0.35">
      <c r="A207" s="2" t="s">
        <v>3</v>
      </c>
      <c r="B207" s="3" t="s">
        <v>947</v>
      </c>
      <c r="C207" s="2" t="s">
        <v>947</v>
      </c>
      <c r="D207" s="2" t="s">
        <v>944</v>
      </c>
    </row>
    <row r="208" spans="1:4" x14ac:dyDescent="0.35">
      <c r="A208" s="2" t="s">
        <v>3</v>
      </c>
      <c r="B208" s="3" t="s">
        <v>948</v>
      </c>
      <c r="C208" s="2" t="s">
        <v>948</v>
      </c>
      <c r="D208" s="2" t="s">
        <v>949</v>
      </c>
    </row>
    <row r="209" spans="1:4" x14ac:dyDescent="0.35">
      <c r="A209" s="2" t="s">
        <v>3</v>
      </c>
      <c r="B209" s="3" t="s">
        <v>950</v>
      </c>
      <c r="C209" s="2" t="s">
        <v>950</v>
      </c>
      <c r="D209" s="2" t="s">
        <v>951</v>
      </c>
    </row>
    <row r="210" spans="1:4" x14ac:dyDescent="0.35">
      <c r="A210" s="2" t="s">
        <v>3</v>
      </c>
      <c r="B210" s="3" t="s">
        <v>952</v>
      </c>
      <c r="C210" s="2" t="s">
        <v>952</v>
      </c>
      <c r="D210" s="2" t="s">
        <v>953</v>
      </c>
    </row>
    <row r="211" spans="1:4" x14ac:dyDescent="0.35">
      <c r="A211" s="2" t="s">
        <v>3</v>
      </c>
      <c r="B211" s="3" t="s">
        <v>954</v>
      </c>
      <c r="C211" s="2" t="s">
        <v>954</v>
      </c>
      <c r="D211" s="2" t="s">
        <v>953</v>
      </c>
    </row>
    <row r="212" spans="1:4" x14ac:dyDescent="0.35">
      <c r="A212" s="2" t="s">
        <v>3</v>
      </c>
      <c r="B212" s="3" t="s">
        <v>955</v>
      </c>
      <c r="C212" s="2" t="s">
        <v>955</v>
      </c>
      <c r="D212" s="2" t="s">
        <v>956</v>
      </c>
    </row>
    <row r="213" spans="1:4" x14ac:dyDescent="0.35">
      <c r="A213" s="2" t="s">
        <v>3</v>
      </c>
      <c r="B213" s="3" t="s">
        <v>957</v>
      </c>
      <c r="C213" s="2" t="s">
        <v>957</v>
      </c>
      <c r="D213" s="2" t="s">
        <v>958</v>
      </c>
    </row>
    <row r="214" spans="1:4" x14ac:dyDescent="0.35">
      <c r="A214" s="2" t="s">
        <v>3</v>
      </c>
      <c r="B214" s="3" t="s">
        <v>957</v>
      </c>
      <c r="C214" s="2" t="s">
        <v>957</v>
      </c>
      <c r="D214" s="2" t="s">
        <v>959</v>
      </c>
    </row>
    <row r="215" spans="1:4" x14ac:dyDescent="0.35">
      <c r="A215" s="2" t="s">
        <v>3</v>
      </c>
      <c r="B215" s="3" t="s">
        <v>960</v>
      </c>
      <c r="C215" s="2" t="s">
        <v>960</v>
      </c>
      <c r="D215" s="2" t="s">
        <v>961</v>
      </c>
    </row>
    <row r="216" spans="1:4" x14ac:dyDescent="0.35">
      <c r="A216" s="2" t="s">
        <v>3</v>
      </c>
      <c r="B216" s="3" t="s">
        <v>962</v>
      </c>
      <c r="C216" s="2" t="s">
        <v>962</v>
      </c>
      <c r="D216" s="2" t="s">
        <v>961</v>
      </c>
    </row>
    <row r="217" spans="1:4" x14ac:dyDescent="0.35">
      <c r="A217" s="2" t="s">
        <v>3</v>
      </c>
      <c r="B217" s="3" t="s">
        <v>963</v>
      </c>
      <c r="C217" s="2" t="s">
        <v>963</v>
      </c>
      <c r="D217" s="2" t="s">
        <v>964</v>
      </c>
    </row>
    <row r="218" spans="1:4" x14ac:dyDescent="0.35">
      <c r="A218" s="2" t="s">
        <v>3</v>
      </c>
      <c r="B218" s="3" t="s">
        <v>965</v>
      </c>
      <c r="C218" s="2" t="s">
        <v>965</v>
      </c>
      <c r="D218" s="2" t="s">
        <v>966</v>
      </c>
    </row>
    <row r="219" spans="1:4" x14ac:dyDescent="0.35">
      <c r="A219" s="2" t="s">
        <v>3</v>
      </c>
      <c r="B219" s="3" t="s">
        <v>967</v>
      </c>
      <c r="C219" s="2" t="s">
        <v>967</v>
      </c>
      <c r="D219" s="2" t="s">
        <v>968</v>
      </c>
    </row>
    <row r="220" spans="1:4" x14ac:dyDescent="0.35">
      <c r="A220" s="2" t="s">
        <v>3</v>
      </c>
      <c r="B220" s="3" t="s">
        <v>969</v>
      </c>
      <c r="C220" s="2" t="s">
        <v>969</v>
      </c>
      <c r="D220" s="2" t="s">
        <v>970</v>
      </c>
    </row>
    <row r="221" spans="1:4" x14ac:dyDescent="0.35">
      <c r="A221" s="2" t="s">
        <v>3</v>
      </c>
      <c r="B221" s="3" t="s">
        <v>971</v>
      </c>
      <c r="C221" s="2" t="s">
        <v>971</v>
      </c>
      <c r="D221" s="2" t="s">
        <v>972</v>
      </c>
    </row>
    <row r="222" spans="1:4" x14ac:dyDescent="0.35">
      <c r="A222" s="2" t="s">
        <v>3</v>
      </c>
      <c r="B222" s="3" t="s">
        <v>973</v>
      </c>
      <c r="C222" s="2" t="s">
        <v>973</v>
      </c>
      <c r="D222" s="2" t="s">
        <v>966</v>
      </c>
    </row>
    <row r="223" spans="1:4" x14ac:dyDescent="0.35">
      <c r="A223" s="2" t="s">
        <v>3</v>
      </c>
      <c r="B223" s="3" t="s">
        <v>974</v>
      </c>
      <c r="C223" s="2" t="s">
        <v>974</v>
      </c>
      <c r="D223" s="2" t="s">
        <v>968</v>
      </c>
    </row>
    <row r="224" spans="1:4" x14ac:dyDescent="0.35">
      <c r="A224" s="2" t="s">
        <v>3</v>
      </c>
      <c r="B224" s="3" t="s">
        <v>975</v>
      </c>
      <c r="C224" s="2" t="s">
        <v>975</v>
      </c>
      <c r="D224" s="2" t="s">
        <v>970</v>
      </c>
    </row>
    <row r="225" spans="1:4" x14ac:dyDescent="0.35">
      <c r="A225" s="2" t="s">
        <v>3</v>
      </c>
      <c r="B225" s="3" t="s">
        <v>976</v>
      </c>
      <c r="C225" s="2" t="s">
        <v>976</v>
      </c>
      <c r="D225" s="2" t="s">
        <v>966</v>
      </c>
    </row>
    <row r="226" spans="1:4" x14ac:dyDescent="0.35">
      <c r="A226" s="2" t="s">
        <v>3</v>
      </c>
      <c r="B226" s="3" t="s">
        <v>977</v>
      </c>
      <c r="C226" s="2" t="s">
        <v>977</v>
      </c>
      <c r="D226" s="2" t="s">
        <v>978</v>
      </c>
    </row>
    <row r="227" spans="1:4" x14ac:dyDescent="0.35">
      <c r="A227" s="2" t="s">
        <v>64</v>
      </c>
      <c r="B227" s="3">
        <v>10000</v>
      </c>
      <c r="C227" s="2">
        <v>10000</v>
      </c>
      <c r="D227" s="2" t="s">
        <v>656</v>
      </c>
    </row>
    <row r="228" spans="1:4" x14ac:dyDescent="0.35">
      <c r="A228" s="2" t="s">
        <v>64</v>
      </c>
      <c r="B228" s="3">
        <v>10001</v>
      </c>
      <c r="C228" s="2">
        <v>10001</v>
      </c>
      <c r="D228" s="2" t="s">
        <v>657</v>
      </c>
    </row>
    <row r="229" spans="1:4" x14ac:dyDescent="0.35">
      <c r="A229" s="2" t="s">
        <v>64</v>
      </c>
      <c r="B229" s="3">
        <v>10002</v>
      </c>
      <c r="C229" s="2">
        <v>10002</v>
      </c>
      <c r="D229" s="2" t="s">
        <v>658</v>
      </c>
    </row>
    <row r="230" spans="1:4" x14ac:dyDescent="0.35">
      <c r="A230" s="2" t="s">
        <v>64</v>
      </c>
      <c r="B230" s="3">
        <v>10003</v>
      </c>
      <c r="C230" s="2">
        <v>10003</v>
      </c>
      <c r="D230" s="2" t="s">
        <v>659</v>
      </c>
    </row>
    <row r="231" spans="1:4" x14ac:dyDescent="0.35">
      <c r="A231" s="2" t="s">
        <v>64</v>
      </c>
      <c r="B231" s="3">
        <v>10004</v>
      </c>
      <c r="C231" s="2">
        <v>10004</v>
      </c>
      <c r="D231" s="2" t="s">
        <v>660</v>
      </c>
    </row>
    <row r="232" spans="1:4" x14ac:dyDescent="0.35">
      <c r="A232" s="2" t="s">
        <v>64</v>
      </c>
      <c r="B232" s="3">
        <v>10005</v>
      </c>
      <c r="C232" s="2">
        <v>10005</v>
      </c>
      <c r="D232" s="2" t="s">
        <v>661</v>
      </c>
    </row>
    <row r="233" spans="1:4" x14ac:dyDescent="0.35">
      <c r="A233" s="2" t="s">
        <v>64</v>
      </c>
      <c r="B233" s="3">
        <v>10006</v>
      </c>
      <c r="C233" s="2">
        <v>10006</v>
      </c>
      <c r="D233" s="2" t="s">
        <v>662</v>
      </c>
    </row>
    <row r="234" spans="1:4" x14ac:dyDescent="0.35">
      <c r="A234" s="2" t="s">
        <v>64</v>
      </c>
      <c r="B234" s="3">
        <v>10007</v>
      </c>
      <c r="C234" s="2">
        <v>10007</v>
      </c>
      <c r="D234" s="2" t="s">
        <v>646</v>
      </c>
    </row>
    <row r="235" spans="1:4" x14ac:dyDescent="0.35">
      <c r="A235" s="2" t="s">
        <v>64</v>
      </c>
      <c r="B235" s="3">
        <v>10008</v>
      </c>
      <c r="C235" s="2">
        <v>10008</v>
      </c>
      <c r="D235" s="2" t="s">
        <v>663</v>
      </c>
    </row>
    <row r="236" spans="1:4" x14ac:dyDescent="0.35">
      <c r="A236" s="2" t="s">
        <v>64</v>
      </c>
      <c r="B236" s="3">
        <v>10009</v>
      </c>
      <c r="C236" s="2">
        <v>10009</v>
      </c>
      <c r="D236" s="2" t="s">
        <v>664</v>
      </c>
    </row>
    <row r="237" spans="1:4" x14ac:dyDescent="0.35">
      <c r="A237" s="2" t="s">
        <v>64</v>
      </c>
      <c r="B237" s="3">
        <v>12000</v>
      </c>
      <c r="C237" s="2">
        <v>12000</v>
      </c>
      <c r="D237" s="2" t="s">
        <v>665</v>
      </c>
    </row>
    <row r="238" spans="1:4" x14ac:dyDescent="0.35">
      <c r="A238" s="2" t="s">
        <v>64</v>
      </c>
      <c r="B238" s="3">
        <v>13000</v>
      </c>
      <c r="C238" s="2">
        <v>13000</v>
      </c>
      <c r="D238" s="2" t="s">
        <v>666</v>
      </c>
    </row>
    <row r="239" spans="1:4" x14ac:dyDescent="0.35">
      <c r="A239" s="2" t="s">
        <v>64</v>
      </c>
      <c r="B239" s="3">
        <v>13000</v>
      </c>
      <c r="C239" s="2">
        <v>13000</v>
      </c>
      <c r="D239" s="2" t="s">
        <v>666</v>
      </c>
    </row>
    <row r="240" spans="1:4" x14ac:dyDescent="0.35">
      <c r="A240" s="2" t="s">
        <v>64</v>
      </c>
      <c r="B240" s="3">
        <v>20000</v>
      </c>
      <c r="C240" s="2">
        <v>20000</v>
      </c>
      <c r="D240" s="2" t="s">
        <v>667</v>
      </c>
    </row>
    <row r="241" spans="1:4" x14ac:dyDescent="0.35">
      <c r="A241" s="2" t="s">
        <v>64</v>
      </c>
      <c r="B241" s="3">
        <v>30000</v>
      </c>
      <c r="C241" s="2">
        <v>30000</v>
      </c>
      <c r="D241" s="2" t="s">
        <v>668</v>
      </c>
    </row>
    <row r="242" spans="1:4" x14ac:dyDescent="0.35">
      <c r="A242" s="2" t="s">
        <v>64</v>
      </c>
      <c r="B242" s="3">
        <v>30000</v>
      </c>
      <c r="C242" s="2">
        <v>30000</v>
      </c>
      <c r="D242" s="2" t="s">
        <v>669</v>
      </c>
    </row>
    <row r="243" spans="1:4" x14ac:dyDescent="0.35">
      <c r="A243" s="2" t="s">
        <v>64</v>
      </c>
      <c r="B243" s="3">
        <v>30001</v>
      </c>
      <c r="C243" s="2">
        <v>30001</v>
      </c>
      <c r="D243" s="2" t="s">
        <v>670</v>
      </c>
    </row>
    <row r="244" spans="1:4" x14ac:dyDescent="0.35">
      <c r="A244" s="2" t="s">
        <v>64</v>
      </c>
      <c r="B244" s="3">
        <v>30002</v>
      </c>
      <c r="C244" s="2">
        <v>30002</v>
      </c>
      <c r="D244" s="2" t="s">
        <v>671</v>
      </c>
    </row>
    <row r="245" spans="1:4" x14ac:dyDescent="0.35">
      <c r="A245" s="2" t="s">
        <v>64</v>
      </c>
      <c r="B245" s="3">
        <v>30003</v>
      </c>
      <c r="C245" s="2">
        <v>30003</v>
      </c>
      <c r="D245" s="2" t="s">
        <v>672</v>
      </c>
    </row>
    <row r="246" spans="1:4" x14ac:dyDescent="0.35">
      <c r="A246" s="2" t="s">
        <v>64</v>
      </c>
      <c r="B246" s="3">
        <v>40000</v>
      </c>
      <c r="C246" s="2">
        <v>40000</v>
      </c>
      <c r="D246" s="2" t="s">
        <v>673</v>
      </c>
    </row>
    <row r="247" spans="1:4" x14ac:dyDescent="0.35">
      <c r="A247" s="2" t="s">
        <v>64</v>
      </c>
      <c r="B247" s="3">
        <v>40000</v>
      </c>
      <c r="C247" s="2">
        <v>40000</v>
      </c>
      <c r="D247" s="2" t="s">
        <v>674</v>
      </c>
    </row>
    <row r="248" spans="1:4" x14ac:dyDescent="0.35">
      <c r="A248" s="2" t="s">
        <v>64</v>
      </c>
      <c r="B248" s="3">
        <v>40001</v>
      </c>
      <c r="C248" s="2">
        <v>40001</v>
      </c>
      <c r="D248" s="2" t="s">
        <v>675</v>
      </c>
    </row>
    <row r="249" spans="1:4" x14ac:dyDescent="0.35">
      <c r="A249" s="2" t="s">
        <v>64</v>
      </c>
      <c r="B249" s="3">
        <v>40002</v>
      </c>
      <c r="C249" s="2">
        <v>40002</v>
      </c>
      <c r="D249" s="2" t="s">
        <v>676</v>
      </c>
    </row>
    <row r="250" spans="1:4" x14ac:dyDescent="0.35">
      <c r="A250" s="2" t="s">
        <v>64</v>
      </c>
      <c r="B250" s="3">
        <v>40003</v>
      </c>
      <c r="C250" s="2">
        <v>40003</v>
      </c>
      <c r="D250" s="2" t="s">
        <v>677</v>
      </c>
    </row>
    <row r="251" spans="1:4" x14ac:dyDescent="0.35">
      <c r="A251" s="2" t="s">
        <v>64</v>
      </c>
      <c r="B251" s="3">
        <v>40004</v>
      </c>
      <c r="C251" s="2">
        <v>40004</v>
      </c>
      <c r="D251" s="2" t="s">
        <v>678</v>
      </c>
    </row>
    <row r="252" spans="1:4" x14ac:dyDescent="0.35">
      <c r="A252" s="2" t="s">
        <v>64</v>
      </c>
      <c r="B252" s="3">
        <v>40005</v>
      </c>
      <c r="C252" s="2">
        <v>40005</v>
      </c>
      <c r="D252" s="2" t="s">
        <v>679</v>
      </c>
    </row>
    <row r="253" spans="1:4" x14ac:dyDescent="0.35">
      <c r="A253" s="2" t="s">
        <v>64</v>
      </c>
      <c r="B253" s="3">
        <v>40009</v>
      </c>
      <c r="C253" s="2">
        <v>40009</v>
      </c>
      <c r="D253" s="2" t="s">
        <v>680</v>
      </c>
    </row>
    <row r="254" spans="1:4" x14ac:dyDescent="0.35">
      <c r="A254" s="2" t="s">
        <v>64</v>
      </c>
      <c r="B254" s="3">
        <v>50000</v>
      </c>
      <c r="C254" s="2">
        <v>50000</v>
      </c>
      <c r="D254" s="2" t="s">
        <v>681</v>
      </c>
    </row>
    <row r="255" spans="1:4" x14ac:dyDescent="0.35">
      <c r="A255" s="2" t="s">
        <v>64</v>
      </c>
      <c r="B255" s="3">
        <v>60000</v>
      </c>
      <c r="C255" s="2">
        <v>60000</v>
      </c>
      <c r="D255" s="2" t="s">
        <v>682</v>
      </c>
    </row>
    <row r="256" spans="1:4" x14ac:dyDescent="0.35">
      <c r="A256" s="2" t="s">
        <v>64</v>
      </c>
      <c r="B256" s="3">
        <v>60001</v>
      </c>
      <c r="C256" s="2">
        <v>60001</v>
      </c>
      <c r="D256" s="2" t="s">
        <v>683</v>
      </c>
    </row>
    <row r="257" spans="1:4" x14ac:dyDescent="0.35">
      <c r="A257" s="2" t="s">
        <v>64</v>
      </c>
      <c r="B257" s="3">
        <v>60002</v>
      </c>
      <c r="C257" s="2">
        <v>60002</v>
      </c>
      <c r="D257" s="2" t="s">
        <v>684</v>
      </c>
    </row>
    <row r="258" spans="1:4" x14ac:dyDescent="0.35">
      <c r="A258" s="2" t="s">
        <v>64</v>
      </c>
      <c r="B258" s="3">
        <v>60003</v>
      </c>
      <c r="C258" s="2">
        <v>60003</v>
      </c>
      <c r="D258" s="2" t="s">
        <v>685</v>
      </c>
    </row>
    <row r="259" spans="1:4" x14ac:dyDescent="0.35">
      <c r="A259" s="2" t="s">
        <v>64</v>
      </c>
      <c r="B259" s="3">
        <v>70000</v>
      </c>
      <c r="C259" s="2">
        <v>70000</v>
      </c>
      <c r="D259" s="2" t="s">
        <v>686</v>
      </c>
    </row>
    <row r="260" spans="1:4" x14ac:dyDescent="0.35">
      <c r="A260" s="2" t="s">
        <v>64</v>
      </c>
      <c r="B260" s="3" t="s">
        <v>687</v>
      </c>
      <c r="C260" s="2" t="s">
        <v>687</v>
      </c>
      <c r="D260" s="2" t="s">
        <v>688</v>
      </c>
    </row>
    <row r="261" spans="1:4" x14ac:dyDescent="0.35">
      <c r="A261" s="2" t="s">
        <v>64</v>
      </c>
      <c r="B261" s="3" t="s">
        <v>689</v>
      </c>
      <c r="C261" s="2" t="s">
        <v>689</v>
      </c>
      <c r="D261" s="2" t="s">
        <v>688</v>
      </c>
    </row>
    <row r="262" spans="1:4" x14ac:dyDescent="0.35">
      <c r="A262" s="2" t="s">
        <v>64</v>
      </c>
      <c r="B262" s="3" t="s">
        <v>690</v>
      </c>
      <c r="C262" s="2" t="s">
        <v>690</v>
      </c>
      <c r="D262" s="2" t="s">
        <v>691</v>
      </c>
    </row>
    <row r="263" spans="1:4" x14ac:dyDescent="0.35">
      <c r="A263" s="2" t="s">
        <v>64</v>
      </c>
      <c r="B263" s="3" t="s">
        <v>692</v>
      </c>
      <c r="C263" s="2" t="s">
        <v>692</v>
      </c>
      <c r="D263" s="2" t="s">
        <v>693</v>
      </c>
    </row>
    <row r="264" spans="1:4" x14ac:dyDescent="0.35">
      <c r="A264" s="2" t="s">
        <v>64</v>
      </c>
      <c r="B264" s="3" t="s">
        <v>694</v>
      </c>
      <c r="C264" s="2" t="s">
        <v>694</v>
      </c>
      <c r="D264" s="2" t="s">
        <v>695</v>
      </c>
    </row>
    <row r="265" spans="1:4" x14ac:dyDescent="0.35">
      <c r="A265" s="2" t="s">
        <v>64</v>
      </c>
      <c r="B265" s="3" t="s">
        <v>696</v>
      </c>
      <c r="C265" s="2" t="s">
        <v>696</v>
      </c>
      <c r="D265" s="2" t="s">
        <v>695</v>
      </c>
    </row>
    <row r="266" spans="1:4" x14ac:dyDescent="0.35">
      <c r="A266" s="2" t="s">
        <v>64</v>
      </c>
      <c r="B266" s="3" t="s">
        <v>697</v>
      </c>
      <c r="C266" s="2" t="s">
        <v>697</v>
      </c>
      <c r="D266" s="2" t="s">
        <v>698</v>
      </c>
    </row>
    <row r="267" spans="1:4" x14ac:dyDescent="0.35">
      <c r="A267" s="2" t="s">
        <v>64</v>
      </c>
      <c r="B267" s="3" t="s">
        <v>699</v>
      </c>
      <c r="C267" s="2" t="s">
        <v>699</v>
      </c>
      <c r="D267" s="2" t="s">
        <v>700</v>
      </c>
    </row>
    <row r="268" spans="1:4" x14ac:dyDescent="0.35">
      <c r="A268" s="2" t="s">
        <v>64</v>
      </c>
      <c r="B268" s="3" t="s">
        <v>701</v>
      </c>
      <c r="C268" s="2" t="s">
        <v>701</v>
      </c>
      <c r="D268" s="2" t="s">
        <v>700</v>
      </c>
    </row>
    <row r="269" spans="1:4" x14ac:dyDescent="0.35">
      <c r="A269" s="2" t="s">
        <v>64</v>
      </c>
      <c r="B269" s="3" t="s">
        <v>702</v>
      </c>
      <c r="C269" s="2" t="s">
        <v>702</v>
      </c>
      <c r="D269" s="2" t="s">
        <v>703</v>
      </c>
    </row>
    <row r="270" spans="1:4" x14ac:dyDescent="0.35">
      <c r="A270" s="2" t="s">
        <v>64</v>
      </c>
      <c r="B270" s="3" t="s">
        <v>704</v>
      </c>
      <c r="C270" s="2" t="s">
        <v>704</v>
      </c>
      <c r="D270" s="2" t="s">
        <v>705</v>
      </c>
    </row>
    <row r="271" spans="1:4" x14ac:dyDescent="0.35">
      <c r="A271" s="2" t="s">
        <v>64</v>
      </c>
      <c r="B271" s="3" t="s">
        <v>706</v>
      </c>
      <c r="C271" s="2" t="s">
        <v>706</v>
      </c>
      <c r="D271" s="2" t="s">
        <v>705</v>
      </c>
    </row>
    <row r="272" spans="1:4" x14ac:dyDescent="0.35">
      <c r="A272" s="2" t="s">
        <v>64</v>
      </c>
      <c r="B272" s="3" t="s">
        <v>707</v>
      </c>
      <c r="C272" s="2" t="s">
        <v>707</v>
      </c>
      <c r="D272" s="2" t="s">
        <v>708</v>
      </c>
    </row>
    <row r="273" spans="1:4" x14ac:dyDescent="0.35">
      <c r="A273" s="2" t="s">
        <v>64</v>
      </c>
      <c r="B273" s="3" t="s">
        <v>709</v>
      </c>
      <c r="C273" s="2" t="s">
        <v>709</v>
      </c>
      <c r="D273" s="2" t="s">
        <v>708</v>
      </c>
    </row>
    <row r="274" spans="1:4" x14ac:dyDescent="0.35">
      <c r="A274" s="2" t="s">
        <v>64</v>
      </c>
      <c r="B274" s="3" t="s">
        <v>710</v>
      </c>
      <c r="C274" s="2" t="s">
        <v>710</v>
      </c>
      <c r="D274" s="2" t="s">
        <v>711</v>
      </c>
    </row>
    <row r="275" spans="1:4" x14ac:dyDescent="0.35">
      <c r="A275" s="2" t="s">
        <v>64</v>
      </c>
      <c r="B275" s="3" t="s">
        <v>712</v>
      </c>
      <c r="C275" s="2" t="s">
        <v>712</v>
      </c>
      <c r="D275" s="2" t="s">
        <v>713</v>
      </c>
    </row>
    <row r="276" spans="1:4" x14ac:dyDescent="0.35">
      <c r="A276" s="2" t="s">
        <v>64</v>
      </c>
      <c r="B276" s="3" t="s">
        <v>714</v>
      </c>
      <c r="C276" s="2" t="s">
        <v>714</v>
      </c>
      <c r="D276" s="2" t="s">
        <v>715</v>
      </c>
    </row>
    <row r="277" spans="1:4" x14ac:dyDescent="0.35">
      <c r="A277" s="2" t="s">
        <v>64</v>
      </c>
      <c r="B277" s="3" t="s">
        <v>716</v>
      </c>
      <c r="C277" s="2" t="s">
        <v>716</v>
      </c>
      <c r="D277" s="2" t="s">
        <v>717</v>
      </c>
    </row>
    <row r="278" spans="1:4" x14ac:dyDescent="0.35">
      <c r="A278" s="2" t="s">
        <v>64</v>
      </c>
      <c r="B278" s="3" t="s">
        <v>718</v>
      </c>
      <c r="C278" s="2" t="s">
        <v>718</v>
      </c>
      <c r="D278" s="2" t="s">
        <v>719</v>
      </c>
    </row>
    <row r="279" spans="1:4" x14ac:dyDescent="0.35">
      <c r="A279" s="2" t="s">
        <v>64</v>
      </c>
      <c r="B279" s="3" t="s">
        <v>720</v>
      </c>
      <c r="C279" s="2" t="s">
        <v>720</v>
      </c>
      <c r="D279" s="2" t="s">
        <v>721</v>
      </c>
    </row>
    <row r="280" spans="1:4" x14ac:dyDescent="0.35">
      <c r="A280" s="2" t="s">
        <v>64</v>
      </c>
      <c r="B280" s="3" t="s">
        <v>722</v>
      </c>
      <c r="C280" s="2" t="s">
        <v>722</v>
      </c>
      <c r="D280" s="2" t="s">
        <v>723</v>
      </c>
    </row>
    <row r="281" spans="1:4" x14ac:dyDescent="0.35">
      <c r="A281" s="2" t="s">
        <v>64</v>
      </c>
      <c r="B281" s="3" t="s">
        <v>724</v>
      </c>
      <c r="C281" s="2" t="s">
        <v>724</v>
      </c>
      <c r="D281" s="2" t="s">
        <v>725</v>
      </c>
    </row>
    <row r="282" spans="1:4" x14ac:dyDescent="0.35">
      <c r="A282" s="2" t="s">
        <v>64</v>
      </c>
      <c r="B282" s="3" t="s">
        <v>726</v>
      </c>
      <c r="C282" s="2" t="s">
        <v>726</v>
      </c>
      <c r="D282" s="2" t="s">
        <v>727</v>
      </c>
    </row>
    <row r="283" spans="1:4" x14ac:dyDescent="0.35">
      <c r="A283" s="2" t="s">
        <v>64</v>
      </c>
      <c r="B283" s="3" t="s">
        <v>728</v>
      </c>
      <c r="C283" s="2" t="s">
        <v>728</v>
      </c>
      <c r="D283" s="2" t="s">
        <v>729</v>
      </c>
    </row>
    <row r="284" spans="1:4" x14ac:dyDescent="0.35">
      <c r="A284" s="2" t="s">
        <v>64</v>
      </c>
      <c r="B284" s="3" t="s">
        <v>730</v>
      </c>
      <c r="C284" s="2" t="s">
        <v>730</v>
      </c>
      <c r="D284" s="2" t="s">
        <v>731</v>
      </c>
    </row>
    <row r="285" spans="1:4" x14ac:dyDescent="0.35">
      <c r="A285" s="2" t="s">
        <v>64</v>
      </c>
      <c r="B285" s="3" t="s">
        <v>732</v>
      </c>
      <c r="C285" s="2" t="s">
        <v>732</v>
      </c>
      <c r="D285" s="2" t="s">
        <v>733</v>
      </c>
    </row>
    <row r="286" spans="1:4" x14ac:dyDescent="0.35">
      <c r="A286" s="2" t="s">
        <v>64</v>
      </c>
      <c r="B286" s="3" t="s">
        <v>734</v>
      </c>
      <c r="C286" s="2" t="s">
        <v>734</v>
      </c>
      <c r="D286" s="2" t="s">
        <v>735</v>
      </c>
    </row>
    <row r="287" spans="1:4" x14ac:dyDescent="0.35">
      <c r="A287" s="2" t="s">
        <v>64</v>
      </c>
      <c r="B287" s="3" t="s">
        <v>736</v>
      </c>
      <c r="C287" s="2" t="s">
        <v>736</v>
      </c>
      <c r="D287" s="2" t="s">
        <v>737</v>
      </c>
    </row>
    <row r="288" spans="1:4" x14ac:dyDescent="0.35">
      <c r="A288" s="2" t="s">
        <v>64</v>
      </c>
      <c r="B288" s="3" t="s">
        <v>738</v>
      </c>
      <c r="C288" s="2" t="s">
        <v>738</v>
      </c>
      <c r="D288" s="2" t="s">
        <v>739</v>
      </c>
    </row>
    <row r="289" spans="1:4" x14ac:dyDescent="0.35">
      <c r="A289" s="2" t="s">
        <v>64</v>
      </c>
      <c r="B289" s="3" t="s">
        <v>740</v>
      </c>
      <c r="C289" s="2" t="s">
        <v>740</v>
      </c>
      <c r="D289" s="2" t="s">
        <v>741</v>
      </c>
    </row>
    <row r="290" spans="1:4" x14ac:dyDescent="0.35">
      <c r="A290" s="2" t="s">
        <v>64</v>
      </c>
      <c r="B290" s="3" t="s">
        <v>742</v>
      </c>
      <c r="C290" s="2" t="s">
        <v>742</v>
      </c>
      <c r="D290" s="2" t="s">
        <v>743</v>
      </c>
    </row>
    <row r="291" spans="1:4" x14ac:dyDescent="0.35">
      <c r="A291" s="2" t="s">
        <v>64</v>
      </c>
      <c r="B291" s="3" t="s">
        <v>744</v>
      </c>
      <c r="C291" s="2" t="s">
        <v>744</v>
      </c>
      <c r="D291" s="2" t="s">
        <v>743</v>
      </c>
    </row>
    <row r="292" spans="1:4" x14ac:dyDescent="0.35">
      <c r="A292" s="2" t="s">
        <v>64</v>
      </c>
      <c r="B292" s="3" t="s">
        <v>745</v>
      </c>
      <c r="C292" s="2" t="s">
        <v>745</v>
      </c>
      <c r="D292" s="2" t="s">
        <v>746</v>
      </c>
    </row>
    <row r="293" spans="1:4" x14ac:dyDescent="0.35">
      <c r="A293" s="2" t="s">
        <v>64</v>
      </c>
      <c r="B293" s="3" t="s">
        <v>747</v>
      </c>
      <c r="C293" s="2" t="s">
        <v>747</v>
      </c>
      <c r="D293" s="2" t="s">
        <v>748</v>
      </c>
    </row>
    <row r="294" spans="1:4" x14ac:dyDescent="0.35">
      <c r="A294" s="2" t="s">
        <v>64</v>
      </c>
      <c r="B294" s="3" t="s">
        <v>749</v>
      </c>
      <c r="C294" s="2" t="s">
        <v>749</v>
      </c>
      <c r="D294" s="2" t="s">
        <v>750</v>
      </c>
    </row>
    <row r="295" spans="1:4" x14ac:dyDescent="0.35">
      <c r="A295" s="2" t="s">
        <v>64</v>
      </c>
      <c r="B295" s="3" t="s">
        <v>751</v>
      </c>
      <c r="C295" s="2" t="s">
        <v>751</v>
      </c>
      <c r="D295" s="2" t="s">
        <v>750</v>
      </c>
    </row>
    <row r="296" spans="1:4" x14ac:dyDescent="0.35">
      <c r="A296" s="2" t="s">
        <v>64</v>
      </c>
      <c r="B296" s="3" t="s">
        <v>752</v>
      </c>
      <c r="C296" s="2" t="s">
        <v>752</v>
      </c>
      <c r="D296" s="2" t="s">
        <v>753</v>
      </c>
    </row>
    <row r="297" spans="1:4" x14ac:dyDescent="0.35">
      <c r="A297" s="2" t="s">
        <v>64</v>
      </c>
      <c r="B297" s="3" t="s">
        <v>754</v>
      </c>
      <c r="C297" s="2" t="s">
        <v>754</v>
      </c>
      <c r="D297" s="2" t="s">
        <v>755</v>
      </c>
    </row>
    <row r="298" spans="1:4" x14ac:dyDescent="0.35">
      <c r="A298" s="2" t="s">
        <v>64</v>
      </c>
      <c r="B298" s="3" t="s">
        <v>756</v>
      </c>
      <c r="C298" s="2" t="s">
        <v>756</v>
      </c>
      <c r="D298" s="2" t="s">
        <v>757</v>
      </c>
    </row>
    <row r="299" spans="1:4" x14ac:dyDescent="0.35">
      <c r="A299" s="2" t="s">
        <v>64</v>
      </c>
      <c r="B299" s="3" t="s">
        <v>758</v>
      </c>
      <c r="C299" s="2" t="s">
        <v>758</v>
      </c>
      <c r="D299" s="2" t="s">
        <v>759</v>
      </c>
    </row>
    <row r="300" spans="1:4" x14ac:dyDescent="0.35">
      <c r="A300" s="2" t="s">
        <v>64</v>
      </c>
      <c r="B300" s="3" t="s">
        <v>760</v>
      </c>
      <c r="C300" s="2" t="s">
        <v>760</v>
      </c>
      <c r="D300" s="2" t="s">
        <v>761</v>
      </c>
    </row>
    <row r="301" spans="1:4" x14ac:dyDescent="0.35">
      <c r="A301" s="2" t="s">
        <v>64</v>
      </c>
      <c r="B301" s="3" t="s">
        <v>762</v>
      </c>
      <c r="C301" s="2" t="s">
        <v>762</v>
      </c>
      <c r="D301" s="2" t="s">
        <v>763</v>
      </c>
    </row>
    <row r="302" spans="1:4" x14ac:dyDescent="0.35">
      <c r="A302" s="2" t="s">
        <v>64</v>
      </c>
      <c r="B302" s="3" t="s">
        <v>764</v>
      </c>
      <c r="C302" s="2" t="s">
        <v>764</v>
      </c>
      <c r="D302" s="2" t="s">
        <v>765</v>
      </c>
    </row>
    <row r="303" spans="1:4" x14ac:dyDescent="0.35">
      <c r="A303" s="2" t="s">
        <v>64</v>
      </c>
      <c r="B303" s="3" t="s">
        <v>766</v>
      </c>
      <c r="C303" s="2" t="s">
        <v>766</v>
      </c>
      <c r="D303" s="2" t="s">
        <v>767</v>
      </c>
    </row>
    <row r="304" spans="1:4" x14ac:dyDescent="0.35">
      <c r="A304" s="2" t="s">
        <v>64</v>
      </c>
      <c r="B304" s="3" t="s">
        <v>768</v>
      </c>
      <c r="C304" s="2" t="s">
        <v>768</v>
      </c>
      <c r="D304" s="2" t="s">
        <v>769</v>
      </c>
    </row>
    <row r="305" spans="1:4" x14ac:dyDescent="0.35">
      <c r="A305" s="2" t="s">
        <v>64</v>
      </c>
      <c r="B305" s="3" t="s">
        <v>770</v>
      </c>
      <c r="C305" s="2" t="s">
        <v>770</v>
      </c>
      <c r="D305" s="2" t="s">
        <v>771</v>
      </c>
    </row>
    <row r="306" spans="1:4" x14ac:dyDescent="0.35">
      <c r="A306" s="2" t="s">
        <v>64</v>
      </c>
      <c r="B306" s="3" t="s">
        <v>772</v>
      </c>
      <c r="C306" s="2" t="s">
        <v>772</v>
      </c>
      <c r="D306" s="2" t="s">
        <v>771</v>
      </c>
    </row>
    <row r="307" spans="1:4" x14ac:dyDescent="0.35">
      <c r="A307" s="2" t="s">
        <v>64</v>
      </c>
      <c r="B307" s="3" t="s">
        <v>773</v>
      </c>
      <c r="C307" s="2" t="s">
        <v>773</v>
      </c>
      <c r="D307" s="2" t="s">
        <v>774</v>
      </c>
    </row>
    <row r="308" spans="1:4" x14ac:dyDescent="0.35">
      <c r="A308" s="2" t="s">
        <v>64</v>
      </c>
      <c r="B308" s="3" t="s">
        <v>775</v>
      </c>
      <c r="C308" s="2" t="s">
        <v>775</v>
      </c>
      <c r="D308" s="2" t="s">
        <v>771</v>
      </c>
    </row>
    <row r="309" spans="1:4" x14ac:dyDescent="0.35">
      <c r="A309" s="2" t="s">
        <v>64</v>
      </c>
      <c r="B309" s="3" t="s">
        <v>776</v>
      </c>
      <c r="C309" s="2" t="s">
        <v>776</v>
      </c>
      <c r="D309" s="2" t="s">
        <v>777</v>
      </c>
    </row>
    <row r="310" spans="1:4" x14ac:dyDescent="0.35">
      <c r="A310" s="2" t="s">
        <v>64</v>
      </c>
      <c r="B310" s="3" t="s">
        <v>778</v>
      </c>
      <c r="C310" s="2" t="s">
        <v>778</v>
      </c>
      <c r="D310" s="2" t="s">
        <v>774</v>
      </c>
    </row>
    <row r="311" spans="1:4" x14ac:dyDescent="0.35">
      <c r="A311" s="2" t="s">
        <v>64</v>
      </c>
      <c r="B311" s="3" t="s">
        <v>779</v>
      </c>
      <c r="C311" s="2" t="s">
        <v>779</v>
      </c>
      <c r="D311" s="2" t="s">
        <v>771</v>
      </c>
    </row>
    <row r="312" spans="1:4" x14ac:dyDescent="0.35">
      <c r="A312" s="2" t="s">
        <v>64</v>
      </c>
      <c r="B312" s="3" t="s">
        <v>780</v>
      </c>
      <c r="C312" s="2" t="s">
        <v>780</v>
      </c>
      <c r="D312" s="2" t="s">
        <v>777</v>
      </c>
    </row>
    <row r="313" spans="1:4" x14ac:dyDescent="0.35">
      <c r="A313" s="2" t="s">
        <v>64</v>
      </c>
      <c r="B313" s="3" t="s">
        <v>781</v>
      </c>
      <c r="C313" s="2" t="s">
        <v>781</v>
      </c>
      <c r="D313" s="2" t="s">
        <v>782</v>
      </c>
    </row>
    <row r="314" spans="1:4" x14ac:dyDescent="0.35">
      <c r="A314" s="2" t="s">
        <v>64</v>
      </c>
      <c r="B314" s="3" t="s">
        <v>783</v>
      </c>
      <c r="C314" s="2" t="s">
        <v>783</v>
      </c>
      <c r="D314" s="2" t="s">
        <v>784</v>
      </c>
    </row>
    <row r="315" spans="1:4" x14ac:dyDescent="0.35">
      <c r="A315" s="2" t="s">
        <v>64</v>
      </c>
      <c r="B315" s="3" t="s">
        <v>979</v>
      </c>
      <c r="C315" s="2" t="s">
        <v>979</v>
      </c>
      <c r="D315" s="2" t="s">
        <v>786</v>
      </c>
    </row>
    <row r="316" spans="1:4" x14ac:dyDescent="0.35">
      <c r="A316" s="2" t="s">
        <v>64</v>
      </c>
      <c r="B316" s="3" t="s">
        <v>787</v>
      </c>
      <c r="C316" s="2" t="s">
        <v>787</v>
      </c>
      <c r="D316" s="2" t="s">
        <v>788</v>
      </c>
    </row>
    <row r="317" spans="1:4" x14ac:dyDescent="0.35">
      <c r="A317" s="2" t="s">
        <v>64</v>
      </c>
      <c r="B317" s="3" t="s">
        <v>789</v>
      </c>
      <c r="C317" s="2" t="s">
        <v>789</v>
      </c>
      <c r="D317" s="2" t="s">
        <v>788</v>
      </c>
    </row>
    <row r="318" spans="1:4" x14ac:dyDescent="0.35">
      <c r="A318" s="2" t="s">
        <v>64</v>
      </c>
      <c r="B318" s="3" t="s">
        <v>790</v>
      </c>
      <c r="C318" s="2" t="s">
        <v>790</v>
      </c>
      <c r="D318" s="2" t="s">
        <v>788</v>
      </c>
    </row>
    <row r="319" spans="1:4" x14ac:dyDescent="0.35">
      <c r="A319" s="2" t="s">
        <v>64</v>
      </c>
      <c r="B319" s="3" t="s">
        <v>791</v>
      </c>
      <c r="C319" s="2" t="s">
        <v>791</v>
      </c>
      <c r="D319" s="2" t="s">
        <v>788</v>
      </c>
    </row>
    <row r="320" spans="1:4" x14ac:dyDescent="0.35">
      <c r="A320" s="2" t="s">
        <v>64</v>
      </c>
      <c r="B320" s="3" t="s">
        <v>792</v>
      </c>
      <c r="C320" s="2" t="s">
        <v>792</v>
      </c>
      <c r="D320" s="2" t="s">
        <v>788</v>
      </c>
    </row>
    <row r="321" spans="1:4" x14ac:dyDescent="0.35">
      <c r="A321" s="2" t="s">
        <v>64</v>
      </c>
      <c r="B321" s="3" t="s">
        <v>793</v>
      </c>
      <c r="C321" s="2" t="s">
        <v>793</v>
      </c>
      <c r="D321" s="2" t="s">
        <v>788</v>
      </c>
    </row>
    <row r="322" spans="1:4" x14ac:dyDescent="0.35">
      <c r="A322" s="2" t="s">
        <v>64</v>
      </c>
      <c r="B322" s="3" t="s">
        <v>794</v>
      </c>
      <c r="C322" s="2" t="s">
        <v>794</v>
      </c>
      <c r="D322" s="2" t="s">
        <v>795</v>
      </c>
    </row>
    <row r="323" spans="1:4" x14ac:dyDescent="0.35">
      <c r="A323" s="2" t="s">
        <v>64</v>
      </c>
      <c r="B323" s="3" t="s">
        <v>796</v>
      </c>
      <c r="C323" s="2" t="s">
        <v>796</v>
      </c>
      <c r="D323" s="2" t="s">
        <v>788</v>
      </c>
    </row>
    <row r="324" spans="1:4" x14ac:dyDescent="0.35">
      <c r="A324" s="2" t="s">
        <v>64</v>
      </c>
      <c r="B324" s="3" t="s">
        <v>797</v>
      </c>
      <c r="C324" s="2" t="s">
        <v>797</v>
      </c>
      <c r="D324" s="2" t="s">
        <v>798</v>
      </c>
    </row>
    <row r="325" spans="1:4" x14ac:dyDescent="0.35">
      <c r="A325" s="2" t="s">
        <v>64</v>
      </c>
      <c r="B325" s="3" t="s">
        <v>799</v>
      </c>
      <c r="C325" s="2" t="s">
        <v>799</v>
      </c>
      <c r="D325" s="2" t="s">
        <v>800</v>
      </c>
    </row>
    <row r="326" spans="1:4" x14ac:dyDescent="0.35">
      <c r="A326" s="2" t="s">
        <v>64</v>
      </c>
      <c r="B326" s="3" t="s">
        <v>801</v>
      </c>
      <c r="C326" s="2" t="s">
        <v>801</v>
      </c>
      <c r="D326" s="2" t="s">
        <v>802</v>
      </c>
    </row>
    <row r="327" spans="1:4" x14ac:dyDescent="0.35">
      <c r="A327" s="2" t="s">
        <v>64</v>
      </c>
      <c r="B327" s="3" t="s">
        <v>803</v>
      </c>
      <c r="C327" s="2" t="s">
        <v>803</v>
      </c>
      <c r="D327" s="2" t="s">
        <v>795</v>
      </c>
    </row>
    <row r="328" spans="1:4" x14ac:dyDescent="0.35">
      <c r="A328" s="2" t="s">
        <v>64</v>
      </c>
      <c r="B328" s="3" t="s">
        <v>804</v>
      </c>
      <c r="C328" s="2" t="s">
        <v>804</v>
      </c>
      <c r="D328" s="2" t="s">
        <v>788</v>
      </c>
    </row>
    <row r="329" spans="1:4" x14ac:dyDescent="0.35">
      <c r="A329" s="2" t="s">
        <v>64</v>
      </c>
      <c r="B329" s="3" t="s">
        <v>805</v>
      </c>
      <c r="C329" s="2" t="s">
        <v>805</v>
      </c>
      <c r="D329" s="2" t="s">
        <v>798</v>
      </c>
    </row>
    <row r="330" spans="1:4" x14ac:dyDescent="0.35">
      <c r="A330" s="2" t="s">
        <v>64</v>
      </c>
      <c r="B330" s="3" t="s">
        <v>806</v>
      </c>
      <c r="C330" s="2" t="s">
        <v>806</v>
      </c>
      <c r="D330" s="2" t="s">
        <v>800</v>
      </c>
    </row>
    <row r="331" spans="1:4" x14ac:dyDescent="0.35">
      <c r="A331" s="2" t="s">
        <v>64</v>
      </c>
      <c r="B331" s="3" t="s">
        <v>807</v>
      </c>
      <c r="C331" s="2" t="s">
        <v>807</v>
      </c>
      <c r="D331" s="2" t="s">
        <v>802</v>
      </c>
    </row>
    <row r="332" spans="1:4" x14ac:dyDescent="0.35">
      <c r="A332" s="2" t="s">
        <v>64</v>
      </c>
      <c r="B332" s="3" t="s">
        <v>808</v>
      </c>
      <c r="C332" s="2" t="s">
        <v>808</v>
      </c>
      <c r="D332" s="2" t="s">
        <v>798</v>
      </c>
    </row>
    <row r="333" spans="1:4" x14ac:dyDescent="0.35">
      <c r="A333" s="2" t="s">
        <v>64</v>
      </c>
      <c r="B333" s="3" t="s">
        <v>809</v>
      </c>
      <c r="C333" s="2" t="s">
        <v>809</v>
      </c>
      <c r="D333" s="2" t="s">
        <v>810</v>
      </c>
    </row>
    <row r="334" spans="1:4" x14ac:dyDescent="0.35">
      <c r="A334" s="2" t="s">
        <v>64</v>
      </c>
      <c r="B334" s="3" t="s">
        <v>811</v>
      </c>
      <c r="C334" s="2" t="s">
        <v>811</v>
      </c>
      <c r="D334" s="2" t="s">
        <v>812</v>
      </c>
    </row>
    <row r="335" spans="1:4" x14ac:dyDescent="0.35">
      <c r="A335" s="2" t="s">
        <v>64</v>
      </c>
      <c r="B335" s="3" t="s">
        <v>813</v>
      </c>
      <c r="C335" s="2" t="s">
        <v>813</v>
      </c>
      <c r="D335" s="2" t="s">
        <v>814</v>
      </c>
    </row>
    <row r="336" spans="1:4" x14ac:dyDescent="0.35">
      <c r="A336" s="2" t="s">
        <v>64</v>
      </c>
      <c r="B336" s="3" t="s">
        <v>815</v>
      </c>
      <c r="C336" s="2" t="s">
        <v>815</v>
      </c>
      <c r="D336" s="2" t="s">
        <v>816</v>
      </c>
    </row>
    <row r="337" spans="1:4" x14ac:dyDescent="0.35">
      <c r="A337" s="2" t="s">
        <v>64</v>
      </c>
      <c r="B337" s="3" t="s">
        <v>817</v>
      </c>
      <c r="C337" s="2" t="s">
        <v>817</v>
      </c>
      <c r="D337" s="2" t="s">
        <v>818</v>
      </c>
    </row>
    <row r="338" spans="1:4" x14ac:dyDescent="0.35">
      <c r="A338" s="2" t="s">
        <v>64</v>
      </c>
      <c r="B338" s="3" t="s">
        <v>819</v>
      </c>
      <c r="C338" s="2" t="s">
        <v>819</v>
      </c>
      <c r="D338" s="2" t="s">
        <v>820</v>
      </c>
    </row>
    <row r="339" spans="1:4" x14ac:dyDescent="0.35">
      <c r="A339" s="2" t="s">
        <v>64</v>
      </c>
      <c r="B339" s="3" t="s">
        <v>821</v>
      </c>
      <c r="C339" s="2" t="s">
        <v>821</v>
      </c>
      <c r="D339" s="2" t="s">
        <v>822</v>
      </c>
    </row>
    <row r="340" spans="1:4" x14ac:dyDescent="0.35">
      <c r="A340" s="2" t="s">
        <v>64</v>
      </c>
      <c r="B340" s="3" t="s">
        <v>823</v>
      </c>
      <c r="C340" s="2" t="s">
        <v>823</v>
      </c>
      <c r="D340" s="2" t="s">
        <v>822</v>
      </c>
    </row>
    <row r="341" spans="1:4" x14ac:dyDescent="0.35">
      <c r="A341" s="2" t="s">
        <v>64</v>
      </c>
      <c r="B341" s="3" t="s">
        <v>824</v>
      </c>
      <c r="C341" s="2" t="s">
        <v>824</v>
      </c>
      <c r="D341" s="2" t="s">
        <v>825</v>
      </c>
    </row>
    <row r="342" spans="1:4" x14ac:dyDescent="0.35">
      <c r="A342" s="2" t="s">
        <v>64</v>
      </c>
      <c r="B342" s="3" t="s">
        <v>826</v>
      </c>
      <c r="C342" s="2" t="s">
        <v>826</v>
      </c>
      <c r="D342" s="2" t="s">
        <v>822</v>
      </c>
    </row>
    <row r="343" spans="1:4" x14ac:dyDescent="0.35">
      <c r="A343" s="2" t="s">
        <v>64</v>
      </c>
      <c r="B343" s="3" t="s">
        <v>827</v>
      </c>
      <c r="C343" s="2" t="s">
        <v>827</v>
      </c>
      <c r="D343" s="2" t="s">
        <v>828</v>
      </c>
    </row>
    <row r="344" spans="1:4" x14ac:dyDescent="0.35">
      <c r="A344" s="2" t="s">
        <v>64</v>
      </c>
      <c r="B344" s="3" t="s">
        <v>829</v>
      </c>
      <c r="C344" s="2" t="s">
        <v>829</v>
      </c>
      <c r="D344" s="2" t="s">
        <v>825</v>
      </c>
    </row>
    <row r="345" spans="1:4" x14ac:dyDescent="0.35">
      <c r="A345" s="2" t="s">
        <v>64</v>
      </c>
      <c r="B345" s="3" t="s">
        <v>830</v>
      </c>
      <c r="C345" s="2" t="s">
        <v>830</v>
      </c>
      <c r="D345" s="2" t="s">
        <v>822</v>
      </c>
    </row>
    <row r="346" spans="1:4" x14ac:dyDescent="0.35">
      <c r="A346" s="2" t="s">
        <v>64</v>
      </c>
      <c r="B346" s="3" t="s">
        <v>831</v>
      </c>
      <c r="C346" s="2" t="s">
        <v>831</v>
      </c>
      <c r="D346" s="2" t="s">
        <v>828</v>
      </c>
    </row>
    <row r="347" spans="1:4" x14ac:dyDescent="0.35">
      <c r="A347" s="2" t="s">
        <v>64</v>
      </c>
      <c r="B347" s="3" t="s">
        <v>832</v>
      </c>
      <c r="C347" s="2" t="s">
        <v>832</v>
      </c>
      <c r="D347" s="2" t="s">
        <v>833</v>
      </c>
    </row>
    <row r="348" spans="1:4" x14ac:dyDescent="0.35">
      <c r="A348" s="2" t="s">
        <v>64</v>
      </c>
      <c r="B348" s="3" t="s">
        <v>834</v>
      </c>
      <c r="C348" s="2" t="s">
        <v>834</v>
      </c>
      <c r="D348" s="2" t="s">
        <v>833</v>
      </c>
    </row>
    <row r="349" spans="1:4" x14ac:dyDescent="0.35">
      <c r="A349" s="2" t="s">
        <v>64</v>
      </c>
      <c r="B349" s="3" t="s">
        <v>835</v>
      </c>
      <c r="C349" s="2" t="s">
        <v>835</v>
      </c>
      <c r="D349" s="2" t="s">
        <v>822</v>
      </c>
    </row>
    <row r="350" spans="1:4" x14ac:dyDescent="0.35">
      <c r="A350" s="2" t="s">
        <v>64</v>
      </c>
      <c r="B350" s="3" t="s">
        <v>836</v>
      </c>
      <c r="C350" s="2" t="s">
        <v>836</v>
      </c>
      <c r="D350" s="2" t="s">
        <v>837</v>
      </c>
    </row>
    <row r="351" spans="1:4" x14ac:dyDescent="0.35">
      <c r="A351" s="2" t="s">
        <v>64</v>
      </c>
      <c r="B351" s="3" t="s">
        <v>838</v>
      </c>
      <c r="C351" s="2" t="s">
        <v>838</v>
      </c>
      <c r="D351" s="2" t="s">
        <v>839</v>
      </c>
    </row>
    <row r="352" spans="1:4" x14ac:dyDescent="0.35">
      <c r="A352" s="2" t="s">
        <v>64</v>
      </c>
      <c r="B352" s="3" t="s">
        <v>840</v>
      </c>
      <c r="C352" s="2" t="s">
        <v>840</v>
      </c>
      <c r="D352" s="2" t="s">
        <v>841</v>
      </c>
    </row>
    <row r="353" spans="1:4" x14ac:dyDescent="0.35">
      <c r="A353" s="2" t="s">
        <v>64</v>
      </c>
      <c r="B353" s="3" t="s">
        <v>842</v>
      </c>
      <c r="C353" s="2" t="s">
        <v>842</v>
      </c>
      <c r="D353" s="2" t="s">
        <v>841</v>
      </c>
    </row>
    <row r="354" spans="1:4" x14ac:dyDescent="0.35">
      <c r="A354" s="2" t="s">
        <v>64</v>
      </c>
      <c r="B354" s="3" t="s">
        <v>843</v>
      </c>
      <c r="C354" s="2" t="s">
        <v>843</v>
      </c>
      <c r="D354" s="2" t="s">
        <v>841</v>
      </c>
    </row>
    <row r="355" spans="1:4" x14ac:dyDescent="0.35">
      <c r="A355" s="2" t="s">
        <v>64</v>
      </c>
      <c r="B355" s="3" t="s">
        <v>844</v>
      </c>
      <c r="C355" s="2" t="s">
        <v>844</v>
      </c>
      <c r="D355" s="2" t="s">
        <v>841</v>
      </c>
    </row>
    <row r="356" spans="1:4" x14ac:dyDescent="0.35">
      <c r="A356" s="2" t="s">
        <v>64</v>
      </c>
      <c r="B356" s="3" t="s">
        <v>845</v>
      </c>
      <c r="C356" s="2" t="s">
        <v>845</v>
      </c>
      <c r="D356" s="2" t="s">
        <v>841</v>
      </c>
    </row>
    <row r="357" spans="1:4" x14ac:dyDescent="0.35">
      <c r="A357" s="2" t="s">
        <v>64</v>
      </c>
      <c r="B357" s="3" t="s">
        <v>846</v>
      </c>
      <c r="C357" s="2" t="s">
        <v>846</v>
      </c>
      <c r="D357" s="2" t="s">
        <v>847</v>
      </c>
    </row>
    <row r="358" spans="1:4" x14ac:dyDescent="0.35">
      <c r="A358" s="2" t="s">
        <v>64</v>
      </c>
      <c r="B358" s="3" t="s">
        <v>848</v>
      </c>
      <c r="C358" s="2" t="s">
        <v>848</v>
      </c>
      <c r="D358" s="2" t="s">
        <v>841</v>
      </c>
    </row>
    <row r="359" spans="1:4" x14ac:dyDescent="0.35">
      <c r="A359" s="2" t="s">
        <v>64</v>
      </c>
      <c r="B359" s="3" t="s">
        <v>849</v>
      </c>
      <c r="C359" s="2" t="s">
        <v>849</v>
      </c>
      <c r="D359" s="2" t="s">
        <v>847</v>
      </c>
    </row>
    <row r="360" spans="1:4" x14ac:dyDescent="0.35">
      <c r="A360" s="2" t="s">
        <v>64</v>
      </c>
      <c r="B360" s="3" t="s">
        <v>850</v>
      </c>
      <c r="C360" s="2" t="s">
        <v>850</v>
      </c>
      <c r="D360" s="2" t="s">
        <v>841</v>
      </c>
    </row>
    <row r="361" spans="1:4" x14ac:dyDescent="0.35">
      <c r="A361" s="2" t="s">
        <v>64</v>
      </c>
      <c r="B361" s="3" t="s">
        <v>851</v>
      </c>
      <c r="C361" s="2" t="s">
        <v>851</v>
      </c>
      <c r="D361" s="2" t="s">
        <v>852</v>
      </c>
    </row>
    <row r="362" spans="1:4" x14ac:dyDescent="0.35">
      <c r="A362" s="2" t="s">
        <v>64</v>
      </c>
      <c r="B362" s="3" t="s">
        <v>853</v>
      </c>
      <c r="C362" s="2" t="s">
        <v>853</v>
      </c>
      <c r="D362" s="2" t="s">
        <v>854</v>
      </c>
    </row>
    <row r="363" spans="1:4" x14ac:dyDescent="0.35">
      <c r="A363" s="2" t="s">
        <v>64</v>
      </c>
      <c r="B363" s="3" t="s">
        <v>855</v>
      </c>
      <c r="C363" s="2" t="s">
        <v>855</v>
      </c>
      <c r="D363" s="2" t="s">
        <v>856</v>
      </c>
    </row>
    <row r="364" spans="1:4" x14ac:dyDescent="0.35">
      <c r="A364" s="2" t="s">
        <v>64</v>
      </c>
      <c r="B364" s="3" t="s">
        <v>857</v>
      </c>
      <c r="C364" s="2" t="s">
        <v>857</v>
      </c>
      <c r="D364" s="2" t="s">
        <v>841</v>
      </c>
    </row>
    <row r="365" spans="1:4" x14ac:dyDescent="0.35">
      <c r="A365" s="2" t="s">
        <v>64</v>
      </c>
      <c r="B365" s="3" t="s">
        <v>858</v>
      </c>
      <c r="C365" s="2" t="s">
        <v>858</v>
      </c>
      <c r="D365" s="2" t="s">
        <v>856</v>
      </c>
    </row>
    <row r="366" spans="1:4" x14ac:dyDescent="0.35">
      <c r="A366" s="2" t="s">
        <v>64</v>
      </c>
      <c r="B366" s="3" t="s">
        <v>859</v>
      </c>
      <c r="C366" s="2" t="s">
        <v>859</v>
      </c>
      <c r="D366" s="2" t="s">
        <v>852</v>
      </c>
    </row>
    <row r="367" spans="1:4" x14ac:dyDescent="0.35">
      <c r="A367" s="2" t="s">
        <v>64</v>
      </c>
      <c r="B367" s="3" t="s">
        <v>860</v>
      </c>
      <c r="C367" s="2" t="s">
        <v>860</v>
      </c>
      <c r="D367" s="2" t="s">
        <v>852</v>
      </c>
    </row>
    <row r="368" spans="1:4" x14ac:dyDescent="0.35">
      <c r="A368" s="2" t="s">
        <v>64</v>
      </c>
      <c r="B368" s="3" t="s">
        <v>861</v>
      </c>
      <c r="C368" s="2" t="s">
        <v>861</v>
      </c>
      <c r="D368" s="2" t="s">
        <v>854</v>
      </c>
    </row>
    <row r="369" spans="1:4" x14ac:dyDescent="0.35">
      <c r="A369" s="2" t="s">
        <v>64</v>
      </c>
      <c r="B369" s="3" t="s">
        <v>862</v>
      </c>
      <c r="C369" s="2" t="s">
        <v>862</v>
      </c>
      <c r="D369" s="2" t="s">
        <v>856</v>
      </c>
    </row>
    <row r="370" spans="1:4" x14ac:dyDescent="0.35">
      <c r="A370" s="2" t="s">
        <v>64</v>
      </c>
      <c r="B370" s="3" t="s">
        <v>863</v>
      </c>
      <c r="C370" s="2" t="s">
        <v>863</v>
      </c>
      <c r="D370" s="2" t="s">
        <v>841</v>
      </c>
    </row>
    <row r="371" spans="1:4" x14ac:dyDescent="0.35">
      <c r="A371" s="2" t="s">
        <v>64</v>
      </c>
      <c r="B371" s="3" t="s">
        <v>864</v>
      </c>
      <c r="C371" s="2" t="s">
        <v>864</v>
      </c>
      <c r="D371" s="2" t="s">
        <v>856</v>
      </c>
    </row>
    <row r="372" spans="1:4" x14ac:dyDescent="0.35">
      <c r="A372" s="2" t="s">
        <v>64</v>
      </c>
      <c r="B372" s="3" t="s">
        <v>865</v>
      </c>
      <c r="C372" s="2" t="s">
        <v>865</v>
      </c>
      <c r="D372" s="2" t="s">
        <v>841</v>
      </c>
    </row>
    <row r="373" spans="1:4" x14ac:dyDescent="0.35">
      <c r="A373" s="2" t="s">
        <v>64</v>
      </c>
      <c r="B373" s="3" t="s">
        <v>866</v>
      </c>
      <c r="C373" s="2" t="s">
        <v>866</v>
      </c>
      <c r="D373" s="2" t="s">
        <v>867</v>
      </c>
    </row>
    <row r="374" spans="1:4" x14ac:dyDescent="0.35">
      <c r="A374" s="2" t="s">
        <v>64</v>
      </c>
      <c r="B374" s="3" t="s">
        <v>868</v>
      </c>
      <c r="C374" s="2" t="s">
        <v>868</v>
      </c>
      <c r="D374" s="2" t="s">
        <v>867</v>
      </c>
    </row>
    <row r="375" spans="1:4" x14ac:dyDescent="0.35">
      <c r="A375" s="2" t="s">
        <v>64</v>
      </c>
      <c r="B375" s="3" t="s">
        <v>869</v>
      </c>
      <c r="C375" s="2" t="s">
        <v>869</v>
      </c>
      <c r="D375" s="2" t="s">
        <v>870</v>
      </c>
    </row>
    <row r="376" spans="1:4" x14ac:dyDescent="0.35">
      <c r="A376" s="2" t="s">
        <v>64</v>
      </c>
      <c r="B376" s="3" t="s">
        <v>871</v>
      </c>
      <c r="C376" s="2" t="s">
        <v>871</v>
      </c>
      <c r="D376" s="2" t="s">
        <v>872</v>
      </c>
    </row>
    <row r="377" spans="1:4" x14ac:dyDescent="0.35">
      <c r="A377" s="2" t="s">
        <v>64</v>
      </c>
      <c r="B377" s="3" t="s">
        <v>873</v>
      </c>
      <c r="C377" s="2" t="s">
        <v>873</v>
      </c>
      <c r="D377" s="2" t="s">
        <v>874</v>
      </c>
    </row>
    <row r="378" spans="1:4" x14ac:dyDescent="0.35">
      <c r="A378" s="2" t="s">
        <v>64</v>
      </c>
      <c r="B378" s="3" t="s">
        <v>875</v>
      </c>
      <c r="C378" s="2" t="s">
        <v>875</v>
      </c>
      <c r="D378" s="2" t="s">
        <v>876</v>
      </c>
    </row>
    <row r="379" spans="1:4" x14ac:dyDescent="0.35">
      <c r="A379" s="2" t="s">
        <v>64</v>
      </c>
      <c r="B379" s="3" t="s">
        <v>877</v>
      </c>
      <c r="C379" s="2" t="s">
        <v>877</v>
      </c>
      <c r="D379" s="2" t="s">
        <v>878</v>
      </c>
    </row>
    <row r="380" spans="1:4" x14ac:dyDescent="0.35">
      <c r="A380" s="2" t="s">
        <v>64</v>
      </c>
      <c r="B380" s="3" t="s">
        <v>879</v>
      </c>
      <c r="C380" s="2" t="s">
        <v>879</v>
      </c>
      <c r="D380" s="2" t="s">
        <v>880</v>
      </c>
    </row>
    <row r="381" spans="1:4" x14ac:dyDescent="0.35">
      <c r="A381" s="2" t="s">
        <v>64</v>
      </c>
      <c r="B381" s="3" t="s">
        <v>881</v>
      </c>
      <c r="C381" s="2" t="s">
        <v>881</v>
      </c>
      <c r="D381" s="2" t="s">
        <v>880</v>
      </c>
    </row>
    <row r="382" spans="1:4" x14ac:dyDescent="0.35">
      <c r="A382" s="2" t="s">
        <v>64</v>
      </c>
      <c r="B382" s="3" t="s">
        <v>882</v>
      </c>
      <c r="C382" s="2" t="s">
        <v>882</v>
      </c>
      <c r="D382" s="2" t="s">
        <v>883</v>
      </c>
    </row>
    <row r="383" spans="1:4" x14ac:dyDescent="0.35">
      <c r="A383" s="2" t="s">
        <v>64</v>
      </c>
      <c r="B383" s="3" t="s">
        <v>884</v>
      </c>
      <c r="C383" s="2" t="s">
        <v>884</v>
      </c>
      <c r="D383" s="2" t="s">
        <v>885</v>
      </c>
    </row>
    <row r="384" spans="1:4" x14ac:dyDescent="0.35">
      <c r="A384" s="2" t="s">
        <v>64</v>
      </c>
      <c r="B384" s="3" t="s">
        <v>886</v>
      </c>
      <c r="C384" s="2" t="s">
        <v>886</v>
      </c>
      <c r="D384" s="2" t="s">
        <v>887</v>
      </c>
    </row>
    <row r="385" spans="1:4" x14ac:dyDescent="0.35">
      <c r="A385" s="2" t="s">
        <v>64</v>
      </c>
      <c r="B385" s="3" t="s">
        <v>888</v>
      </c>
      <c r="C385" s="2" t="s">
        <v>888</v>
      </c>
      <c r="D385" s="2" t="s">
        <v>883</v>
      </c>
    </row>
    <row r="386" spans="1:4" x14ac:dyDescent="0.35">
      <c r="A386" s="2" t="s">
        <v>64</v>
      </c>
      <c r="B386" s="3" t="s">
        <v>889</v>
      </c>
      <c r="C386" s="2" t="s">
        <v>889</v>
      </c>
      <c r="D386" s="2" t="s">
        <v>885</v>
      </c>
    </row>
    <row r="387" spans="1:4" x14ac:dyDescent="0.35">
      <c r="A387" s="2" t="s">
        <v>64</v>
      </c>
      <c r="B387" s="3" t="s">
        <v>890</v>
      </c>
      <c r="C387" s="2" t="s">
        <v>890</v>
      </c>
      <c r="D387" s="2" t="s">
        <v>887</v>
      </c>
    </row>
    <row r="388" spans="1:4" x14ac:dyDescent="0.35">
      <c r="A388" s="2" t="s">
        <v>64</v>
      </c>
      <c r="B388" s="3" t="s">
        <v>891</v>
      </c>
      <c r="C388" s="2" t="s">
        <v>891</v>
      </c>
      <c r="D388" s="2" t="s">
        <v>885</v>
      </c>
    </row>
    <row r="389" spans="1:4" x14ac:dyDescent="0.35">
      <c r="A389" s="2" t="s">
        <v>64</v>
      </c>
      <c r="B389" s="3" t="s">
        <v>892</v>
      </c>
      <c r="C389" s="2" t="s">
        <v>892</v>
      </c>
      <c r="D389" s="2" t="s">
        <v>885</v>
      </c>
    </row>
    <row r="390" spans="1:4" x14ac:dyDescent="0.35">
      <c r="A390" s="2" t="s">
        <v>64</v>
      </c>
      <c r="B390" s="3" t="s">
        <v>893</v>
      </c>
      <c r="C390" s="2" t="s">
        <v>893</v>
      </c>
      <c r="D390" s="2" t="s">
        <v>885</v>
      </c>
    </row>
    <row r="391" spans="1:4" x14ac:dyDescent="0.35">
      <c r="A391" s="2" t="s">
        <v>64</v>
      </c>
      <c r="B391" s="3" t="s">
        <v>894</v>
      </c>
      <c r="C391" s="2" t="s">
        <v>894</v>
      </c>
      <c r="D391" s="2" t="s">
        <v>880</v>
      </c>
    </row>
    <row r="392" spans="1:4" x14ac:dyDescent="0.35">
      <c r="A392" s="2" t="s">
        <v>64</v>
      </c>
      <c r="B392" s="3" t="s">
        <v>895</v>
      </c>
      <c r="C392" s="2" t="s">
        <v>895</v>
      </c>
      <c r="D392" s="2" t="s">
        <v>896</v>
      </c>
    </row>
    <row r="393" spans="1:4" x14ac:dyDescent="0.35">
      <c r="A393" s="2" t="s">
        <v>64</v>
      </c>
      <c r="B393" s="3" t="s">
        <v>897</v>
      </c>
      <c r="C393" s="2" t="s">
        <v>897</v>
      </c>
      <c r="D393" s="2" t="s">
        <v>898</v>
      </c>
    </row>
    <row r="394" spans="1:4" x14ac:dyDescent="0.35">
      <c r="A394" s="2" t="s">
        <v>64</v>
      </c>
      <c r="B394" s="3" t="s">
        <v>899</v>
      </c>
      <c r="C394" s="2" t="s">
        <v>899</v>
      </c>
      <c r="D394" s="2" t="s">
        <v>900</v>
      </c>
    </row>
    <row r="395" spans="1:4" x14ac:dyDescent="0.35">
      <c r="A395" s="2" t="s">
        <v>64</v>
      </c>
      <c r="B395" s="3" t="s">
        <v>901</v>
      </c>
      <c r="C395" s="2" t="s">
        <v>901</v>
      </c>
      <c r="D395" s="2" t="s">
        <v>900</v>
      </c>
    </row>
    <row r="396" spans="1:4" x14ac:dyDescent="0.35">
      <c r="A396" s="2" t="s">
        <v>64</v>
      </c>
      <c r="B396" s="3" t="s">
        <v>902</v>
      </c>
      <c r="C396" s="2" t="s">
        <v>902</v>
      </c>
      <c r="D396" s="2" t="s">
        <v>900</v>
      </c>
    </row>
    <row r="397" spans="1:4" x14ac:dyDescent="0.35">
      <c r="A397" s="2" t="s">
        <v>64</v>
      </c>
      <c r="B397" s="3" t="s">
        <v>903</v>
      </c>
      <c r="C397" s="2" t="s">
        <v>903</v>
      </c>
      <c r="D397" s="2" t="s">
        <v>900</v>
      </c>
    </row>
    <row r="398" spans="1:4" x14ac:dyDescent="0.35">
      <c r="A398" s="2" t="s">
        <v>64</v>
      </c>
      <c r="B398" s="3" t="s">
        <v>904</v>
      </c>
      <c r="C398" s="2" t="s">
        <v>904</v>
      </c>
      <c r="D398" s="2" t="s">
        <v>900</v>
      </c>
    </row>
    <row r="399" spans="1:4" x14ac:dyDescent="0.35">
      <c r="A399" s="2" t="s">
        <v>64</v>
      </c>
      <c r="B399" s="3" t="s">
        <v>905</v>
      </c>
      <c r="C399" s="2" t="s">
        <v>905</v>
      </c>
      <c r="D399" s="2" t="s">
        <v>906</v>
      </c>
    </row>
    <row r="400" spans="1:4" x14ac:dyDescent="0.35">
      <c r="A400" s="2" t="s">
        <v>64</v>
      </c>
      <c r="B400" s="3" t="s">
        <v>907</v>
      </c>
      <c r="C400" s="2" t="s">
        <v>907</v>
      </c>
      <c r="D400" s="2" t="s">
        <v>900</v>
      </c>
    </row>
    <row r="401" spans="1:4" x14ac:dyDescent="0.35">
      <c r="A401" s="2" t="s">
        <v>64</v>
      </c>
      <c r="B401" s="3" t="s">
        <v>908</v>
      </c>
      <c r="C401" s="2" t="s">
        <v>908</v>
      </c>
      <c r="D401" s="2" t="s">
        <v>909</v>
      </c>
    </row>
    <row r="402" spans="1:4" x14ac:dyDescent="0.35">
      <c r="A402" s="2" t="s">
        <v>64</v>
      </c>
      <c r="B402" s="3" t="s">
        <v>910</v>
      </c>
      <c r="C402" s="2" t="s">
        <v>910</v>
      </c>
      <c r="D402" s="2" t="s">
        <v>911</v>
      </c>
    </row>
    <row r="403" spans="1:4" x14ac:dyDescent="0.35">
      <c r="A403" s="2" t="s">
        <v>64</v>
      </c>
      <c r="B403" s="3" t="s">
        <v>912</v>
      </c>
      <c r="C403" s="2" t="s">
        <v>912</v>
      </c>
      <c r="D403" s="2" t="s">
        <v>906</v>
      </c>
    </row>
    <row r="404" spans="1:4" x14ac:dyDescent="0.35">
      <c r="A404" s="2" t="s">
        <v>64</v>
      </c>
      <c r="B404" s="3" t="s">
        <v>913</v>
      </c>
      <c r="C404" s="2" t="s">
        <v>913</v>
      </c>
      <c r="D404" s="2" t="s">
        <v>900</v>
      </c>
    </row>
    <row r="405" spans="1:4" x14ac:dyDescent="0.35">
      <c r="A405" s="2" t="s">
        <v>64</v>
      </c>
      <c r="B405" s="3" t="s">
        <v>914</v>
      </c>
      <c r="C405" s="2" t="s">
        <v>914</v>
      </c>
      <c r="D405" s="2" t="s">
        <v>915</v>
      </c>
    </row>
    <row r="406" spans="1:4" x14ac:dyDescent="0.35">
      <c r="A406" s="2" t="s">
        <v>64</v>
      </c>
      <c r="B406" s="3" t="s">
        <v>916</v>
      </c>
      <c r="C406" s="2" t="s">
        <v>916</v>
      </c>
      <c r="D406" s="2" t="s">
        <v>917</v>
      </c>
    </row>
    <row r="407" spans="1:4" x14ac:dyDescent="0.35">
      <c r="A407" s="2" t="s">
        <v>64</v>
      </c>
      <c r="B407" s="3" t="s">
        <v>918</v>
      </c>
      <c r="C407" s="2" t="s">
        <v>918</v>
      </c>
      <c r="D407" s="2" t="s">
        <v>919</v>
      </c>
    </row>
    <row r="408" spans="1:4" x14ac:dyDescent="0.35">
      <c r="A408" s="2" t="s">
        <v>64</v>
      </c>
      <c r="B408" s="3" t="s">
        <v>920</v>
      </c>
      <c r="C408" s="2" t="s">
        <v>920</v>
      </c>
      <c r="D408" s="2" t="s">
        <v>921</v>
      </c>
    </row>
    <row r="409" spans="1:4" x14ac:dyDescent="0.35">
      <c r="A409" s="2" t="s">
        <v>64</v>
      </c>
      <c r="B409" s="3" t="s">
        <v>922</v>
      </c>
      <c r="C409" s="2" t="s">
        <v>922</v>
      </c>
      <c r="D409" s="2" t="s">
        <v>919</v>
      </c>
    </row>
    <row r="410" spans="1:4" x14ac:dyDescent="0.35">
      <c r="A410" s="2" t="s">
        <v>64</v>
      </c>
      <c r="B410" s="3" t="s">
        <v>923</v>
      </c>
      <c r="C410" s="2" t="s">
        <v>923</v>
      </c>
      <c r="D410" s="2" t="s">
        <v>924</v>
      </c>
    </row>
    <row r="411" spans="1:4" x14ac:dyDescent="0.35">
      <c r="A411" s="2" t="s">
        <v>64</v>
      </c>
      <c r="B411" s="3" t="s">
        <v>925</v>
      </c>
      <c r="C411" s="2" t="s">
        <v>925</v>
      </c>
      <c r="D411" s="2" t="s">
        <v>900</v>
      </c>
    </row>
    <row r="412" spans="1:4" x14ac:dyDescent="0.35">
      <c r="A412" s="2" t="s">
        <v>64</v>
      </c>
      <c r="B412" s="3" t="s">
        <v>926</v>
      </c>
      <c r="C412" s="2" t="s">
        <v>926</v>
      </c>
      <c r="D412" s="2" t="s">
        <v>919</v>
      </c>
    </row>
    <row r="413" spans="1:4" x14ac:dyDescent="0.35">
      <c r="A413" s="2" t="s">
        <v>64</v>
      </c>
      <c r="B413" s="3" t="s">
        <v>927</v>
      </c>
      <c r="C413" s="2" t="s">
        <v>927</v>
      </c>
      <c r="D413" s="2" t="s">
        <v>921</v>
      </c>
    </row>
    <row r="414" spans="1:4" x14ac:dyDescent="0.35">
      <c r="A414" s="2" t="s">
        <v>64</v>
      </c>
      <c r="B414" s="3" t="s">
        <v>928</v>
      </c>
      <c r="C414" s="2" t="s">
        <v>928</v>
      </c>
      <c r="D414" s="2" t="s">
        <v>919</v>
      </c>
    </row>
    <row r="415" spans="1:4" x14ac:dyDescent="0.35">
      <c r="A415" s="2" t="s">
        <v>64</v>
      </c>
      <c r="B415" s="3" t="s">
        <v>929</v>
      </c>
      <c r="C415" s="2" t="s">
        <v>929</v>
      </c>
      <c r="D415" s="2" t="s">
        <v>924</v>
      </c>
    </row>
    <row r="416" spans="1:4" x14ac:dyDescent="0.35">
      <c r="A416" s="2" t="s">
        <v>64</v>
      </c>
      <c r="B416" s="3" t="s">
        <v>930</v>
      </c>
      <c r="C416" s="2" t="s">
        <v>930</v>
      </c>
      <c r="D416" s="2" t="s">
        <v>921</v>
      </c>
    </row>
    <row r="417" spans="1:4" x14ac:dyDescent="0.35">
      <c r="A417" s="2" t="s">
        <v>64</v>
      </c>
      <c r="B417" s="3" t="s">
        <v>931</v>
      </c>
      <c r="C417" s="2" t="s">
        <v>931</v>
      </c>
      <c r="D417" s="2" t="s">
        <v>921</v>
      </c>
    </row>
    <row r="418" spans="1:4" x14ac:dyDescent="0.35">
      <c r="A418" s="2" t="s">
        <v>64</v>
      </c>
      <c r="B418" s="3" t="s">
        <v>932</v>
      </c>
      <c r="C418" s="2" t="s">
        <v>932</v>
      </c>
      <c r="D418" s="2" t="s">
        <v>919</v>
      </c>
    </row>
    <row r="419" spans="1:4" x14ac:dyDescent="0.35">
      <c r="A419" s="2" t="s">
        <v>64</v>
      </c>
      <c r="B419" s="3" t="s">
        <v>933</v>
      </c>
      <c r="C419" s="2" t="s">
        <v>933</v>
      </c>
      <c r="D419" s="2" t="s">
        <v>921</v>
      </c>
    </row>
    <row r="420" spans="1:4" x14ac:dyDescent="0.35">
      <c r="A420" s="2" t="s">
        <v>64</v>
      </c>
      <c r="B420" s="3" t="s">
        <v>934</v>
      </c>
      <c r="C420" s="2" t="s">
        <v>934</v>
      </c>
      <c r="D420" s="2" t="s">
        <v>919</v>
      </c>
    </row>
    <row r="421" spans="1:4" x14ac:dyDescent="0.35">
      <c r="A421" s="2" t="s">
        <v>64</v>
      </c>
      <c r="B421" s="3" t="s">
        <v>935</v>
      </c>
      <c r="C421" s="2" t="s">
        <v>935</v>
      </c>
      <c r="D421" s="2" t="s">
        <v>924</v>
      </c>
    </row>
    <row r="422" spans="1:4" x14ac:dyDescent="0.35">
      <c r="A422" s="2" t="s">
        <v>64</v>
      </c>
      <c r="B422" s="3" t="s">
        <v>936</v>
      </c>
      <c r="C422" s="2" t="s">
        <v>936</v>
      </c>
      <c r="D422" s="2" t="s">
        <v>900</v>
      </c>
    </row>
    <row r="423" spans="1:4" x14ac:dyDescent="0.35">
      <c r="A423" s="2" t="s">
        <v>64</v>
      </c>
      <c r="B423" s="3" t="s">
        <v>937</v>
      </c>
      <c r="C423" s="2" t="s">
        <v>937</v>
      </c>
      <c r="D423" s="2" t="s">
        <v>919</v>
      </c>
    </row>
    <row r="424" spans="1:4" x14ac:dyDescent="0.35">
      <c r="A424" s="2" t="s">
        <v>64</v>
      </c>
      <c r="B424" s="3" t="s">
        <v>938</v>
      </c>
      <c r="C424" s="2" t="s">
        <v>938</v>
      </c>
      <c r="D424" s="2" t="s">
        <v>921</v>
      </c>
    </row>
    <row r="425" spans="1:4" x14ac:dyDescent="0.35">
      <c r="A425" s="2" t="s">
        <v>64</v>
      </c>
      <c r="B425" s="3" t="s">
        <v>939</v>
      </c>
      <c r="C425" s="2" t="s">
        <v>939</v>
      </c>
      <c r="D425" s="2" t="s">
        <v>919</v>
      </c>
    </row>
    <row r="426" spans="1:4" x14ac:dyDescent="0.35">
      <c r="A426" s="2" t="s">
        <v>64</v>
      </c>
      <c r="B426" s="3" t="s">
        <v>940</v>
      </c>
      <c r="C426" s="2" t="s">
        <v>940</v>
      </c>
      <c r="D426" s="2" t="s">
        <v>924</v>
      </c>
    </row>
    <row r="427" spans="1:4" x14ac:dyDescent="0.35">
      <c r="A427" s="2" t="s">
        <v>64</v>
      </c>
      <c r="B427" s="3" t="s">
        <v>941</v>
      </c>
      <c r="C427" s="2" t="s">
        <v>941</v>
      </c>
      <c r="D427" s="2" t="s">
        <v>900</v>
      </c>
    </row>
    <row r="428" spans="1:4" x14ac:dyDescent="0.35">
      <c r="A428" s="2" t="s">
        <v>64</v>
      </c>
      <c r="B428" s="3" t="s">
        <v>942</v>
      </c>
      <c r="C428" s="2" t="s">
        <v>942</v>
      </c>
      <c r="D428" s="2" t="s">
        <v>900</v>
      </c>
    </row>
    <row r="429" spans="1:4" x14ac:dyDescent="0.35">
      <c r="A429" s="2" t="s">
        <v>64</v>
      </c>
      <c r="B429" s="3" t="s">
        <v>943</v>
      </c>
      <c r="C429" s="2" t="s">
        <v>943</v>
      </c>
      <c r="D429" s="2" t="s">
        <v>944</v>
      </c>
    </row>
    <row r="430" spans="1:4" x14ac:dyDescent="0.35">
      <c r="A430" s="2" t="s">
        <v>64</v>
      </c>
      <c r="B430" s="3" t="s">
        <v>945</v>
      </c>
      <c r="C430" s="2" t="s">
        <v>945</v>
      </c>
      <c r="D430" s="2" t="s">
        <v>944</v>
      </c>
    </row>
    <row r="431" spans="1:4" x14ac:dyDescent="0.35">
      <c r="A431" s="2" t="s">
        <v>64</v>
      </c>
      <c r="B431" s="3" t="s">
        <v>946</v>
      </c>
      <c r="C431" s="2" t="s">
        <v>946</v>
      </c>
      <c r="D431" s="2" t="s">
        <v>944</v>
      </c>
    </row>
    <row r="432" spans="1:4" x14ac:dyDescent="0.35">
      <c r="A432" s="2" t="s">
        <v>64</v>
      </c>
      <c r="B432" s="3" t="s">
        <v>947</v>
      </c>
      <c r="C432" s="2" t="s">
        <v>947</v>
      </c>
      <c r="D432" s="2" t="s">
        <v>944</v>
      </c>
    </row>
    <row r="433" spans="1:4" x14ac:dyDescent="0.35">
      <c r="A433" s="2" t="s">
        <v>64</v>
      </c>
      <c r="B433" s="3" t="s">
        <v>948</v>
      </c>
      <c r="C433" s="2" t="s">
        <v>948</v>
      </c>
      <c r="D433" s="2" t="s">
        <v>949</v>
      </c>
    </row>
    <row r="434" spans="1:4" x14ac:dyDescent="0.35">
      <c r="A434" s="2" t="s">
        <v>64</v>
      </c>
      <c r="B434" s="3" t="s">
        <v>950</v>
      </c>
      <c r="C434" s="2" t="s">
        <v>950</v>
      </c>
      <c r="D434" s="2" t="s">
        <v>951</v>
      </c>
    </row>
    <row r="435" spans="1:4" x14ac:dyDescent="0.35">
      <c r="A435" s="2" t="s">
        <v>64</v>
      </c>
      <c r="B435" s="3" t="s">
        <v>952</v>
      </c>
      <c r="C435" s="2" t="s">
        <v>952</v>
      </c>
      <c r="D435" s="2" t="s">
        <v>953</v>
      </c>
    </row>
    <row r="436" spans="1:4" x14ac:dyDescent="0.35">
      <c r="A436" s="2" t="s">
        <v>64</v>
      </c>
      <c r="B436" s="3" t="s">
        <v>954</v>
      </c>
      <c r="C436" s="2" t="s">
        <v>954</v>
      </c>
      <c r="D436" s="2" t="s">
        <v>953</v>
      </c>
    </row>
    <row r="437" spans="1:4" x14ac:dyDescent="0.35">
      <c r="A437" s="2" t="s">
        <v>64</v>
      </c>
      <c r="B437" s="3" t="s">
        <v>955</v>
      </c>
      <c r="C437" s="2" t="s">
        <v>955</v>
      </c>
      <c r="D437" s="2" t="s">
        <v>956</v>
      </c>
    </row>
    <row r="438" spans="1:4" x14ac:dyDescent="0.35">
      <c r="A438" s="2" t="s">
        <v>64</v>
      </c>
      <c r="B438" s="3" t="s">
        <v>957</v>
      </c>
      <c r="C438" s="2" t="s">
        <v>957</v>
      </c>
      <c r="D438" s="2" t="s">
        <v>958</v>
      </c>
    </row>
    <row r="439" spans="1:4" x14ac:dyDescent="0.35">
      <c r="A439" s="2" t="s">
        <v>64</v>
      </c>
      <c r="B439" s="3" t="s">
        <v>980</v>
      </c>
      <c r="C439" s="2" t="s">
        <v>980</v>
      </c>
      <c r="D439" s="2" t="s">
        <v>959</v>
      </c>
    </row>
    <row r="440" spans="1:4" x14ac:dyDescent="0.35">
      <c r="A440" s="2" t="s">
        <v>64</v>
      </c>
      <c r="B440" s="3" t="s">
        <v>960</v>
      </c>
      <c r="C440" s="2" t="s">
        <v>960</v>
      </c>
      <c r="D440" s="2" t="s">
        <v>961</v>
      </c>
    </row>
    <row r="441" spans="1:4" x14ac:dyDescent="0.35">
      <c r="A441" s="2" t="s">
        <v>64</v>
      </c>
      <c r="B441" s="3" t="s">
        <v>962</v>
      </c>
      <c r="C441" s="2" t="s">
        <v>962</v>
      </c>
      <c r="D441" s="2" t="s">
        <v>961</v>
      </c>
    </row>
    <row r="442" spans="1:4" x14ac:dyDescent="0.35">
      <c r="A442" s="2" t="s">
        <v>64</v>
      </c>
      <c r="B442" s="3" t="s">
        <v>963</v>
      </c>
      <c r="C442" s="2" t="s">
        <v>963</v>
      </c>
      <c r="D442" s="2" t="s">
        <v>964</v>
      </c>
    </row>
    <row r="443" spans="1:4" x14ac:dyDescent="0.35">
      <c r="A443" s="2" t="s">
        <v>64</v>
      </c>
      <c r="B443" s="3" t="s">
        <v>965</v>
      </c>
      <c r="C443" s="2" t="s">
        <v>965</v>
      </c>
      <c r="D443" s="2" t="s">
        <v>966</v>
      </c>
    </row>
    <row r="444" spans="1:4" x14ac:dyDescent="0.35">
      <c r="A444" s="2" t="s">
        <v>64</v>
      </c>
      <c r="B444" s="3" t="s">
        <v>967</v>
      </c>
      <c r="C444" s="2" t="s">
        <v>967</v>
      </c>
      <c r="D444" s="2" t="s">
        <v>968</v>
      </c>
    </row>
    <row r="445" spans="1:4" x14ac:dyDescent="0.35">
      <c r="A445" s="2" t="s">
        <v>64</v>
      </c>
      <c r="B445" s="3" t="s">
        <v>969</v>
      </c>
      <c r="C445" s="2" t="s">
        <v>969</v>
      </c>
      <c r="D445" s="2" t="s">
        <v>970</v>
      </c>
    </row>
    <row r="446" spans="1:4" x14ac:dyDescent="0.35">
      <c r="A446" s="2" t="s">
        <v>64</v>
      </c>
      <c r="B446" s="3" t="s">
        <v>971</v>
      </c>
      <c r="C446" s="2" t="s">
        <v>971</v>
      </c>
      <c r="D446" s="2" t="s">
        <v>972</v>
      </c>
    </row>
    <row r="447" spans="1:4" x14ac:dyDescent="0.35">
      <c r="A447" s="2" t="s">
        <v>64</v>
      </c>
      <c r="B447" s="3" t="s">
        <v>973</v>
      </c>
      <c r="C447" s="2" t="s">
        <v>973</v>
      </c>
      <c r="D447" s="2" t="s">
        <v>966</v>
      </c>
    </row>
    <row r="448" spans="1:4" x14ac:dyDescent="0.35">
      <c r="A448" s="2" t="s">
        <v>64</v>
      </c>
      <c r="B448" s="3" t="s">
        <v>974</v>
      </c>
      <c r="C448" s="2" t="s">
        <v>974</v>
      </c>
      <c r="D448" s="2" t="s">
        <v>968</v>
      </c>
    </row>
    <row r="449" spans="1:4" x14ac:dyDescent="0.35">
      <c r="A449" s="2" t="s">
        <v>64</v>
      </c>
      <c r="B449" s="3" t="s">
        <v>975</v>
      </c>
      <c r="C449" s="2" t="s">
        <v>975</v>
      </c>
      <c r="D449" s="2" t="s">
        <v>970</v>
      </c>
    </row>
    <row r="450" spans="1:4" x14ac:dyDescent="0.35">
      <c r="A450" s="2" t="s">
        <v>64</v>
      </c>
      <c r="B450" s="3" t="s">
        <v>976</v>
      </c>
      <c r="C450" s="2" t="s">
        <v>976</v>
      </c>
      <c r="D450" s="2" t="s">
        <v>966</v>
      </c>
    </row>
    <row r="451" spans="1:4" x14ac:dyDescent="0.35">
      <c r="A451" s="2" t="s">
        <v>64</v>
      </c>
      <c r="B451" s="3" t="s">
        <v>977</v>
      </c>
      <c r="C451" s="2" t="s">
        <v>977</v>
      </c>
      <c r="D451" s="2" t="s">
        <v>978</v>
      </c>
    </row>
    <row r="452" spans="1:4" x14ac:dyDescent="0.35">
      <c r="A452" s="2" t="s">
        <v>162</v>
      </c>
      <c r="B452" s="3">
        <v>10000</v>
      </c>
      <c r="C452" s="2">
        <v>10000</v>
      </c>
      <c r="D452" s="2" t="s">
        <v>656</v>
      </c>
    </row>
    <row r="453" spans="1:4" x14ac:dyDescent="0.35">
      <c r="A453" s="2" t="s">
        <v>162</v>
      </c>
      <c r="B453" s="3">
        <v>10001</v>
      </c>
      <c r="C453" s="2">
        <v>10001</v>
      </c>
      <c r="D453" s="2" t="s">
        <v>657</v>
      </c>
    </row>
    <row r="454" spans="1:4" x14ac:dyDescent="0.35">
      <c r="A454" s="2" t="s">
        <v>162</v>
      </c>
      <c r="B454" s="3">
        <v>10002</v>
      </c>
      <c r="C454" s="2">
        <v>10002</v>
      </c>
      <c r="D454" s="2" t="s">
        <v>658</v>
      </c>
    </row>
    <row r="455" spans="1:4" x14ac:dyDescent="0.35">
      <c r="A455" s="2" t="s">
        <v>162</v>
      </c>
      <c r="B455" s="3">
        <v>10003</v>
      </c>
      <c r="C455" s="2">
        <v>10003</v>
      </c>
      <c r="D455" s="2" t="s">
        <v>659</v>
      </c>
    </row>
    <row r="456" spans="1:4" x14ac:dyDescent="0.35">
      <c r="A456" s="2" t="s">
        <v>162</v>
      </c>
      <c r="B456" s="3">
        <v>10004</v>
      </c>
      <c r="C456" s="2">
        <v>10004</v>
      </c>
      <c r="D456" s="2" t="s">
        <v>660</v>
      </c>
    </row>
    <row r="457" spans="1:4" x14ac:dyDescent="0.35">
      <c r="A457" s="2" t="s">
        <v>162</v>
      </c>
      <c r="B457" s="3">
        <v>10005</v>
      </c>
      <c r="C457" s="2">
        <v>10005</v>
      </c>
      <c r="D457" s="2" t="s">
        <v>661</v>
      </c>
    </row>
    <row r="458" spans="1:4" x14ac:dyDescent="0.35">
      <c r="A458" s="2" t="s">
        <v>162</v>
      </c>
      <c r="B458" s="3">
        <v>10006</v>
      </c>
      <c r="C458" s="2">
        <v>10006</v>
      </c>
      <c r="D458" s="2" t="s">
        <v>662</v>
      </c>
    </row>
    <row r="459" spans="1:4" x14ac:dyDescent="0.35">
      <c r="A459" s="2" t="s">
        <v>162</v>
      </c>
      <c r="B459" s="3">
        <v>10007</v>
      </c>
      <c r="C459" s="2">
        <v>10007</v>
      </c>
      <c r="D459" s="2" t="s">
        <v>646</v>
      </c>
    </row>
    <row r="460" spans="1:4" x14ac:dyDescent="0.35">
      <c r="A460" s="2" t="s">
        <v>162</v>
      </c>
      <c r="B460" s="3">
        <v>10008</v>
      </c>
      <c r="C460" s="2">
        <v>10008</v>
      </c>
      <c r="D460" s="2" t="s">
        <v>663</v>
      </c>
    </row>
    <row r="461" spans="1:4" x14ac:dyDescent="0.35">
      <c r="A461" s="2" t="s">
        <v>162</v>
      </c>
      <c r="B461" s="3">
        <v>10009</v>
      </c>
      <c r="C461" s="2">
        <v>10009</v>
      </c>
      <c r="D461" s="2" t="s">
        <v>664</v>
      </c>
    </row>
    <row r="462" spans="1:4" x14ac:dyDescent="0.35">
      <c r="A462" s="2" t="s">
        <v>162</v>
      </c>
      <c r="B462" s="3">
        <v>12000</v>
      </c>
      <c r="C462" s="2">
        <v>12000</v>
      </c>
      <c r="D462" s="2" t="s">
        <v>665</v>
      </c>
    </row>
    <row r="463" spans="1:4" x14ac:dyDescent="0.35">
      <c r="A463" s="2" t="s">
        <v>162</v>
      </c>
      <c r="B463" s="3">
        <v>13000</v>
      </c>
      <c r="C463" s="2">
        <v>13000</v>
      </c>
      <c r="D463" s="2" t="s">
        <v>666</v>
      </c>
    </row>
    <row r="464" spans="1:4" x14ac:dyDescent="0.35">
      <c r="A464" s="2" t="s">
        <v>162</v>
      </c>
      <c r="B464" s="3">
        <v>13000</v>
      </c>
      <c r="C464" s="2">
        <v>13000</v>
      </c>
      <c r="D464" s="2" t="s">
        <v>666</v>
      </c>
    </row>
    <row r="465" spans="1:4" x14ac:dyDescent="0.35">
      <c r="A465" s="2" t="s">
        <v>162</v>
      </c>
      <c r="B465" s="3">
        <v>20000</v>
      </c>
      <c r="C465" s="2">
        <v>20000</v>
      </c>
      <c r="D465" s="2" t="s">
        <v>667</v>
      </c>
    </row>
    <row r="466" spans="1:4" x14ac:dyDescent="0.35">
      <c r="A466" s="2" t="s">
        <v>162</v>
      </c>
      <c r="B466" s="3">
        <v>30000</v>
      </c>
      <c r="C466" s="2">
        <v>30000</v>
      </c>
      <c r="D466" s="2" t="s">
        <v>668</v>
      </c>
    </row>
    <row r="467" spans="1:4" x14ac:dyDescent="0.35">
      <c r="A467" s="2" t="s">
        <v>162</v>
      </c>
      <c r="B467" s="3">
        <v>30000</v>
      </c>
      <c r="C467" s="2">
        <v>30000</v>
      </c>
      <c r="D467" s="2" t="s">
        <v>669</v>
      </c>
    </row>
    <row r="468" spans="1:4" x14ac:dyDescent="0.35">
      <c r="A468" s="2" t="s">
        <v>162</v>
      </c>
      <c r="B468" s="3">
        <v>30001</v>
      </c>
      <c r="C468" s="2">
        <v>30001</v>
      </c>
      <c r="D468" s="2" t="s">
        <v>670</v>
      </c>
    </row>
    <row r="469" spans="1:4" x14ac:dyDescent="0.35">
      <c r="A469" s="2" t="s">
        <v>162</v>
      </c>
      <c r="B469" s="3">
        <v>30002</v>
      </c>
      <c r="C469" s="2">
        <v>30002</v>
      </c>
      <c r="D469" s="2" t="s">
        <v>671</v>
      </c>
    </row>
    <row r="470" spans="1:4" x14ac:dyDescent="0.35">
      <c r="A470" s="2" t="s">
        <v>162</v>
      </c>
      <c r="B470" s="3">
        <v>30003</v>
      </c>
      <c r="C470" s="2">
        <v>30003</v>
      </c>
      <c r="D470" s="2" t="s">
        <v>672</v>
      </c>
    </row>
    <row r="471" spans="1:4" x14ac:dyDescent="0.35">
      <c r="A471" s="2" t="s">
        <v>162</v>
      </c>
      <c r="B471" s="3">
        <v>40000</v>
      </c>
      <c r="C471" s="2">
        <v>40000</v>
      </c>
      <c r="D471" s="2" t="s">
        <v>673</v>
      </c>
    </row>
    <row r="472" spans="1:4" x14ac:dyDescent="0.35">
      <c r="A472" s="2" t="s">
        <v>162</v>
      </c>
      <c r="B472" s="3">
        <v>40000</v>
      </c>
      <c r="C472" s="2">
        <v>40000</v>
      </c>
      <c r="D472" s="2" t="s">
        <v>674</v>
      </c>
    </row>
    <row r="473" spans="1:4" x14ac:dyDescent="0.35">
      <c r="A473" s="2" t="s">
        <v>162</v>
      </c>
      <c r="B473" s="3">
        <v>40001</v>
      </c>
      <c r="C473" s="2">
        <v>40001</v>
      </c>
      <c r="D473" s="2" t="s">
        <v>675</v>
      </c>
    </row>
    <row r="474" spans="1:4" x14ac:dyDescent="0.35">
      <c r="A474" s="2" t="s">
        <v>162</v>
      </c>
      <c r="B474" s="3">
        <v>40002</v>
      </c>
      <c r="C474" s="2">
        <v>40002</v>
      </c>
      <c r="D474" s="2" t="s">
        <v>676</v>
      </c>
    </row>
    <row r="475" spans="1:4" x14ac:dyDescent="0.35">
      <c r="A475" s="2" t="s">
        <v>162</v>
      </c>
      <c r="B475" s="3">
        <v>40003</v>
      </c>
      <c r="C475" s="2">
        <v>40003</v>
      </c>
      <c r="D475" s="2" t="s">
        <v>677</v>
      </c>
    </row>
    <row r="476" spans="1:4" x14ac:dyDescent="0.35">
      <c r="A476" s="2" t="s">
        <v>162</v>
      </c>
      <c r="B476" s="3">
        <v>40004</v>
      </c>
      <c r="C476" s="2">
        <v>40004</v>
      </c>
      <c r="D476" s="2" t="s">
        <v>678</v>
      </c>
    </row>
    <row r="477" spans="1:4" x14ac:dyDescent="0.35">
      <c r="A477" s="2" t="s">
        <v>162</v>
      </c>
      <c r="B477" s="3">
        <v>40005</v>
      </c>
      <c r="C477" s="2">
        <v>40005</v>
      </c>
      <c r="D477" s="2" t="s">
        <v>679</v>
      </c>
    </row>
    <row r="478" spans="1:4" x14ac:dyDescent="0.35">
      <c r="A478" s="2" t="s">
        <v>162</v>
      </c>
      <c r="B478" s="3">
        <v>40009</v>
      </c>
      <c r="C478" s="2">
        <v>40009</v>
      </c>
      <c r="D478" s="2" t="s">
        <v>680</v>
      </c>
    </row>
    <row r="479" spans="1:4" x14ac:dyDescent="0.35">
      <c r="A479" s="2" t="s">
        <v>162</v>
      </c>
      <c r="B479" s="3">
        <v>50000</v>
      </c>
      <c r="C479" s="2">
        <v>50000</v>
      </c>
      <c r="D479" s="2" t="s">
        <v>681</v>
      </c>
    </row>
    <row r="480" spans="1:4" x14ac:dyDescent="0.35">
      <c r="A480" s="2" t="s">
        <v>162</v>
      </c>
      <c r="B480" s="3">
        <v>60000</v>
      </c>
      <c r="C480" s="2">
        <v>60000</v>
      </c>
      <c r="D480" s="2" t="s">
        <v>682</v>
      </c>
    </row>
    <row r="481" spans="1:4" x14ac:dyDescent="0.35">
      <c r="A481" s="2" t="s">
        <v>162</v>
      </c>
      <c r="B481" s="3">
        <v>60001</v>
      </c>
      <c r="C481" s="2">
        <v>60001</v>
      </c>
      <c r="D481" s="2" t="s">
        <v>683</v>
      </c>
    </row>
    <row r="482" spans="1:4" x14ac:dyDescent="0.35">
      <c r="A482" s="2" t="s">
        <v>162</v>
      </c>
      <c r="B482" s="3">
        <v>60002</v>
      </c>
      <c r="C482" s="2">
        <v>60002</v>
      </c>
      <c r="D482" s="2" t="s">
        <v>684</v>
      </c>
    </row>
    <row r="483" spans="1:4" x14ac:dyDescent="0.35">
      <c r="A483" s="2" t="s">
        <v>162</v>
      </c>
      <c r="B483" s="3">
        <v>60003</v>
      </c>
      <c r="C483" s="2">
        <v>60003</v>
      </c>
      <c r="D483" s="2" t="s">
        <v>685</v>
      </c>
    </row>
    <row r="484" spans="1:4" x14ac:dyDescent="0.35">
      <c r="A484" s="2" t="s">
        <v>162</v>
      </c>
      <c r="B484" s="3">
        <v>70000</v>
      </c>
      <c r="C484" s="2">
        <v>70000</v>
      </c>
      <c r="D484" s="2" t="s">
        <v>686</v>
      </c>
    </row>
    <row r="485" spans="1:4" x14ac:dyDescent="0.35">
      <c r="A485" s="2" t="s">
        <v>162</v>
      </c>
      <c r="B485" s="3" t="s">
        <v>687</v>
      </c>
      <c r="C485" s="2" t="s">
        <v>687</v>
      </c>
      <c r="D485" s="2" t="s">
        <v>688</v>
      </c>
    </row>
    <row r="486" spans="1:4" x14ac:dyDescent="0.35">
      <c r="A486" s="2" t="s">
        <v>162</v>
      </c>
      <c r="B486" s="3" t="s">
        <v>689</v>
      </c>
      <c r="C486" s="2" t="s">
        <v>689</v>
      </c>
      <c r="D486" s="2" t="s">
        <v>688</v>
      </c>
    </row>
    <row r="487" spans="1:4" x14ac:dyDescent="0.35">
      <c r="A487" s="2" t="s">
        <v>162</v>
      </c>
      <c r="B487" s="3" t="s">
        <v>690</v>
      </c>
      <c r="C487" s="2" t="s">
        <v>690</v>
      </c>
      <c r="D487" s="2" t="s">
        <v>691</v>
      </c>
    </row>
    <row r="488" spans="1:4" x14ac:dyDescent="0.35">
      <c r="A488" s="2" t="s">
        <v>162</v>
      </c>
      <c r="B488" s="3" t="s">
        <v>692</v>
      </c>
      <c r="C488" s="2" t="s">
        <v>692</v>
      </c>
      <c r="D488" s="2" t="s">
        <v>693</v>
      </c>
    </row>
    <row r="489" spans="1:4" x14ac:dyDescent="0.35">
      <c r="A489" s="2" t="s">
        <v>162</v>
      </c>
      <c r="B489" s="3" t="s">
        <v>694</v>
      </c>
      <c r="C489" s="2" t="s">
        <v>694</v>
      </c>
      <c r="D489" s="2" t="s">
        <v>695</v>
      </c>
    </row>
    <row r="490" spans="1:4" x14ac:dyDescent="0.35">
      <c r="A490" s="2" t="s">
        <v>162</v>
      </c>
      <c r="B490" s="3" t="s">
        <v>696</v>
      </c>
      <c r="C490" s="2" t="s">
        <v>696</v>
      </c>
      <c r="D490" s="2" t="s">
        <v>695</v>
      </c>
    </row>
    <row r="491" spans="1:4" x14ac:dyDescent="0.35">
      <c r="A491" s="2" t="s">
        <v>162</v>
      </c>
      <c r="B491" s="3" t="s">
        <v>697</v>
      </c>
      <c r="C491" s="2" t="s">
        <v>697</v>
      </c>
      <c r="D491" s="2" t="s">
        <v>698</v>
      </c>
    </row>
    <row r="492" spans="1:4" x14ac:dyDescent="0.35">
      <c r="A492" s="2" t="s">
        <v>162</v>
      </c>
      <c r="B492" s="3" t="s">
        <v>699</v>
      </c>
      <c r="C492" s="2" t="s">
        <v>699</v>
      </c>
      <c r="D492" s="2" t="s">
        <v>700</v>
      </c>
    </row>
    <row r="493" spans="1:4" x14ac:dyDescent="0.35">
      <c r="A493" s="2" t="s">
        <v>162</v>
      </c>
      <c r="B493" s="3" t="s">
        <v>701</v>
      </c>
      <c r="C493" s="2" t="s">
        <v>701</v>
      </c>
      <c r="D493" s="2" t="s">
        <v>700</v>
      </c>
    </row>
    <row r="494" spans="1:4" x14ac:dyDescent="0.35">
      <c r="A494" s="2" t="s">
        <v>162</v>
      </c>
      <c r="B494" s="3" t="s">
        <v>702</v>
      </c>
      <c r="C494" s="2" t="s">
        <v>702</v>
      </c>
      <c r="D494" s="2" t="s">
        <v>703</v>
      </c>
    </row>
    <row r="495" spans="1:4" x14ac:dyDescent="0.35">
      <c r="A495" s="2" t="s">
        <v>162</v>
      </c>
      <c r="B495" s="3" t="s">
        <v>704</v>
      </c>
      <c r="C495" s="2" t="s">
        <v>704</v>
      </c>
      <c r="D495" s="2" t="s">
        <v>705</v>
      </c>
    </row>
    <row r="496" spans="1:4" x14ac:dyDescent="0.35">
      <c r="A496" s="2" t="s">
        <v>162</v>
      </c>
      <c r="B496" s="3" t="s">
        <v>706</v>
      </c>
      <c r="C496" s="2" t="s">
        <v>706</v>
      </c>
      <c r="D496" s="2" t="s">
        <v>705</v>
      </c>
    </row>
    <row r="497" spans="1:4" x14ac:dyDescent="0.35">
      <c r="A497" s="2" t="s">
        <v>162</v>
      </c>
      <c r="B497" s="3" t="s">
        <v>707</v>
      </c>
      <c r="C497" s="2" t="s">
        <v>707</v>
      </c>
      <c r="D497" s="2" t="s">
        <v>708</v>
      </c>
    </row>
    <row r="498" spans="1:4" x14ac:dyDescent="0.35">
      <c r="A498" s="2" t="s">
        <v>162</v>
      </c>
      <c r="B498" s="3" t="s">
        <v>709</v>
      </c>
      <c r="C498" s="2" t="s">
        <v>709</v>
      </c>
      <c r="D498" s="2" t="s">
        <v>708</v>
      </c>
    </row>
    <row r="499" spans="1:4" x14ac:dyDescent="0.35">
      <c r="A499" s="2" t="s">
        <v>162</v>
      </c>
      <c r="B499" s="3" t="s">
        <v>710</v>
      </c>
      <c r="C499" s="2" t="s">
        <v>710</v>
      </c>
      <c r="D499" s="2" t="s">
        <v>711</v>
      </c>
    </row>
    <row r="500" spans="1:4" x14ac:dyDescent="0.35">
      <c r="A500" s="2" t="s">
        <v>162</v>
      </c>
      <c r="B500" s="3" t="s">
        <v>712</v>
      </c>
      <c r="C500" s="2" t="s">
        <v>712</v>
      </c>
      <c r="D500" s="2" t="s">
        <v>713</v>
      </c>
    </row>
    <row r="501" spans="1:4" x14ac:dyDescent="0.35">
      <c r="A501" s="2" t="s">
        <v>162</v>
      </c>
      <c r="B501" s="3" t="s">
        <v>714</v>
      </c>
      <c r="C501" s="2" t="s">
        <v>714</v>
      </c>
      <c r="D501" s="2" t="s">
        <v>715</v>
      </c>
    </row>
    <row r="502" spans="1:4" x14ac:dyDescent="0.35">
      <c r="A502" s="2" t="s">
        <v>162</v>
      </c>
      <c r="B502" s="3" t="s">
        <v>716</v>
      </c>
      <c r="C502" s="2" t="s">
        <v>716</v>
      </c>
      <c r="D502" s="2" t="s">
        <v>717</v>
      </c>
    </row>
    <row r="503" spans="1:4" x14ac:dyDescent="0.35">
      <c r="A503" s="2" t="s">
        <v>162</v>
      </c>
      <c r="B503" s="3" t="s">
        <v>718</v>
      </c>
      <c r="C503" s="2" t="s">
        <v>718</v>
      </c>
      <c r="D503" s="2" t="s">
        <v>719</v>
      </c>
    </row>
    <row r="504" spans="1:4" x14ac:dyDescent="0.35">
      <c r="A504" s="2" t="s">
        <v>162</v>
      </c>
      <c r="B504" s="3" t="s">
        <v>720</v>
      </c>
      <c r="C504" s="2" t="s">
        <v>720</v>
      </c>
      <c r="D504" s="2" t="s">
        <v>721</v>
      </c>
    </row>
    <row r="505" spans="1:4" x14ac:dyDescent="0.35">
      <c r="A505" s="2" t="s">
        <v>162</v>
      </c>
      <c r="B505" s="3" t="s">
        <v>722</v>
      </c>
      <c r="C505" s="2" t="s">
        <v>722</v>
      </c>
      <c r="D505" s="2" t="s">
        <v>723</v>
      </c>
    </row>
    <row r="506" spans="1:4" x14ac:dyDescent="0.35">
      <c r="A506" s="2" t="s">
        <v>162</v>
      </c>
      <c r="B506" s="3" t="s">
        <v>724</v>
      </c>
      <c r="C506" s="2" t="s">
        <v>724</v>
      </c>
      <c r="D506" s="2" t="s">
        <v>725</v>
      </c>
    </row>
    <row r="507" spans="1:4" x14ac:dyDescent="0.35">
      <c r="A507" s="2" t="s">
        <v>162</v>
      </c>
      <c r="B507" s="3" t="s">
        <v>726</v>
      </c>
      <c r="C507" s="2" t="s">
        <v>726</v>
      </c>
      <c r="D507" s="2" t="s">
        <v>727</v>
      </c>
    </row>
    <row r="508" spans="1:4" x14ac:dyDescent="0.35">
      <c r="A508" s="2" t="s">
        <v>162</v>
      </c>
      <c r="B508" s="3" t="s">
        <v>728</v>
      </c>
      <c r="C508" s="2" t="s">
        <v>728</v>
      </c>
      <c r="D508" s="2" t="s">
        <v>729</v>
      </c>
    </row>
    <row r="509" spans="1:4" x14ac:dyDescent="0.35">
      <c r="A509" s="2" t="s">
        <v>162</v>
      </c>
      <c r="B509" s="3" t="s">
        <v>730</v>
      </c>
      <c r="C509" s="2" t="s">
        <v>730</v>
      </c>
      <c r="D509" s="2" t="s">
        <v>731</v>
      </c>
    </row>
    <row r="510" spans="1:4" x14ac:dyDescent="0.35">
      <c r="A510" s="2" t="s">
        <v>162</v>
      </c>
      <c r="B510" s="3" t="s">
        <v>732</v>
      </c>
      <c r="C510" s="2" t="s">
        <v>732</v>
      </c>
      <c r="D510" s="2" t="s">
        <v>733</v>
      </c>
    </row>
    <row r="511" spans="1:4" x14ac:dyDescent="0.35">
      <c r="A511" s="2" t="s">
        <v>162</v>
      </c>
      <c r="B511" s="3" t="s">
        <v>734</v>
      </c>
      <c r="C511" s="2" t="s">
        <v>734</v>
      </c>
      <c r="D511" s="2" t="s">
        <v>735</v>
      </c>
    </row>
    <row r="512" spans="1:4" x14ac:dyDescent="0.35">
      <c r="A512" s="2" t="s">
        <v>162</v>
      </c>
      <c r="B512" s="3" t="s">
        <v>736</v>
      </c>
      <c r="C512" s="2" t="s">
        <v>736</v>
      </c>
      <c r="D512" s="2" t="s">
        <v>737</v>
      </c>
    </row>
    <row r="513" spans="1:4" x14ac:dyDescent="0.35">
      <c r="A513" s="2" t="s">
        <v>162</v>
      </c>
      <c r="B513" s="3" t="s">
        <v>738</v>
      </c>
      <c r="C513" s="2" t="s">
        <v>738</v>
      </c>
      <c r="D513" s="2" t="s">
        <v>739</v>
      </c>
    </row>
    <row r="514" spans="1:4" x14ac:dyDescent="0.35">
      <c r="A514" s="2" t="s">
        <v>162</v>
      </c>
      <c r="B514" s="3" t="s">
        <v>740</v>
      </c>
      <c r="C514" s="2" t="s">
        <v>740</v>
      </c>
      <c r="D514" s="2" t="s">
        <v>741</v>
      </c>
    </row>
    <row r="515" spans="1:4" x14ac:dyDescent="0.35">
      <c r="A515" s="2" t="s">
        <v>162</v>
      </c>
      <c r="B515" s="3" t="s">
        <v>742</v>
      </c>
      <c r="C515" s="2" t="s">
        <v>742</v>
      </c>
      <c r="D515" s="2" t="s">
        <v>743</v>
      </c>
    </row>
    <row r="516" spans="1:4" x14ac:dyDescent="0.35">
      <c r="A516" s="2" t="s">
        <v>162</v>
      </c>
      <c r="B516" s="3" t="s">
        <v>744</v>
      </c>
      <c r="C516" s="2" t="s">
        <v>744</v>
      </c>
      <c r="D516" s="2" t="s">
        <v>743</v>
      </c>
    </row>
    <row r="517" spans="1:4" x14ac:dyDescent="0.35">
      <c r="A517" s="2" t="s">
        <v>162</v>
      </c>
      <c r="B517" s="3" t="s">
        <v>745</v>
      </c>
      <c r="C517" s="2" t="s">
        <v>745</v>
      </c>
      <c r="D517" s="2" t="s">
        <v>746</v>
      </c>
    </row>
    <row r="518" spans="1:4" x14ac:dyDescent="0.35">
      <c r="A518" s="2" t="s">
        <v>162</v>
      </c>
      <c r="B518" s="3" t="s">
        <v>747</v>
      </c>
      <c r="C518" s="2" t="s">
        <v>747</v>
      </c>
      <c r="D518" s="2" t="s">
        <v>748</v>
      </c>
    </row>
    <row r="519" spans="1:4" x14ac:dyDescent="0.35">
      <c r="A519" s="2" t="s">
        <v>162</v>
      </c>
      <c r="B519" s="3" t="s">
        <v>749</v>
      </c>
      <c r="C519" s="2" t="s">
        <v>749</v>
      </c>
      <c r="D519" s="2" t="s">
        <v>750</v>
      </c>
    </row>
    <row r="520" spans="1:4" x14ac:dyDescent="0.35">
      <c r="A520" s="2" t="s">
        <v>162</v>
      </c>
      <c r="B520" s="3" t="s">
        <v>751</v>
      </c>
      <c r="C520" s="2" t="s">
        <v>751</v>
      </c>
      <c r="D520" s="2" t="s">
        <v>750</v>
      </c>
    </row>
    <row r="521" spans="1:4" x14ac:dyDescent="0.35">
      <c r="A521" s="2" t="s">
        <v>162</v>
      </c>
      <c r="B521" s="3" t="s">
        <v>752</v>
      </c>
      <c r="C521" s="2" t="s">
        <v>752</v>
      </c>
      <c r="D521" s="2" t="s">
        <v>753</v>
      </c>
    </row>
    <row r="522" spans="1:4" x14ac:dyDescent="0.35">
      <c r="A522" s="2" t="s">
        <v>162</v>
      </c>
      <c r="B522" s="3" t="s">
        <v>754</v>
      </c>
      <c r="C522" s="2" t="s">
        <v>754</v>
      </c>
      <c r="D522" s="2" t="s">
        <v>755</v>
      </c>
    </row>
    <row r="523" spans="1:4" x14ac:dyDescent="0.35">
      <c r="A523" s="2" t="s">
        <v>162</v>
      </c>
      <c r="B523" s="3" t="s">
        <v>756</v>
      </c>
      <c r="C523" s="2" t="s">
        <v>756</v>
      </c>
      <c r="D523" s="2" t="s">
        <v>757</v>
      </c>
    </row>
    <row r="524" spans="1:4" x14ac:dyDescent="0.35">
      <c r="A524" s="2" t="s">
        <v>162</v>
      </c>
      <c r="B524" s="3" t="s">
        <v>758</v>
      </c>
      <c r="C524" s="2" t="s">
        <v>758</v>
      </c>
      <c r="D524" s="2" t="s">
        <v>759</v>
      </c>
    </row>
    <row r="525" spans="1:4" x14ac:dyDescent="0.35">
      <c r="A525" s="2" t="s">
        <v>162</v>
      </c>
      <c r="B525" s="3" t="s">
        <v>760</v>
      </c>
      <c r="C525" s="2" t="s">
        <v>760</v>
      </c>
      <c r="D525" s="2" t="s">
        <v>761</v>
      </c>
    </row>
    <row r="526" spans="1:4" x14ac:dyDescent="0.35">
      <c r="A526" s="2" t="s">
        <v>162</v>
      </c>
      <c r="B526" s="3" t="s">
        <v>762</v>
      </c>
      <c r="C526" s="2" t="s">
        <v>762</v>
      </c>
      <c r="D526" s="2" t="s">
        <v>763</v>
      </c>
    </row>
    <row r="527" spans="1:4" x14ac:dyDescent="0.35">
      <c r="A527" s="2" t="s">
        <v>162</v>
      </c>
      <c r="B527" s="3" t="s">
        <v>764</v>
      </c>
      <c r="C527" s="2" t="s">
        <v>764</v>
      </c>
      <c r="D527" s="2" t="s">
        <v>765</v>
      </c>
    </row>
    <row r="528" spans="1:4" x14ac:dyDescent="0.35">
      <c r="A528" s="2" t="s">
        <v>162</v>
      </c>
      <c r="B528" s="3" t="s">
        <v>766</v>
      </c>
      <c r="C528" s="2" t="s">
        <v>766</v>
      </c>
      <c r="D528" s="2" t="s">
        <v>767</v>
      </c>
    </row>
    <row r="529" spans="1:4" x14ac:dyDescent="0.35">
      <c r="A529" s="2" t="s">
        <v>162</v>
      </c>
      <c r="B529" s="3" t="s">
        <v>768</v>
      </c>
      <c r="C529" s="2" t="s">
        <v>768</v>
      </c>
      <c r="D529" s="2" t="s">
        <v>769</v>
      </c>
    </row>
    <row r="530" spans="1:4" x14ac:dyDescent="0.35">
      <c r="A530" s="2" t="s">
        <v>162</v>
      </c>
      <c r="B530" s="3" t="s">
        <v>770</v>
      </c>
      <c r="C530" s="2" t="s">
        <v>770</v>
      </c>
      <c r="D530" s="2" t="s">
        <v>771</v>
      </c>
    </row>
    <row r="531" spans="1:4" x14ac:dyDescent="0.35">
      <c r="A531" s="2" t="s">
        <v>162</v>
      </c>
      <c r="B531" s="3" t="s">
        <v>772</v>
      </c>
      <c r="C531" s="2" t="s">
        <v>772</v>
      </c>
      <c r="D531" s="2" t="s">
        <v>771</v>
      </c>
    </row>
    <row r="532" spans="1:4" x14ac:dyDescent="0.35">
      <c r="A532" s="2" t="s">
        <v>162</v>
      </c>
      <c r="B532" s="3" t="s">
        <v>773</v>
      </c>
      <c r="C532" s="2" t="s">
        <v>773</v>
      </c>
      <c r="D532" s="2" t="s">
        <v>774</v>
      </c>
    </row>
    <row r="533" spans="1:4" x14ac:dyDescent="0.35">
      <c r="A533" s="2" t="s">
        <v>162</v>
      </c>
      <c r="B533" s="3" t="s">
        <v>775</v>
      </c>
      <c r="C533" s="2" t="s">
        <v>775</v>
      </c>
      <c r="D533" s="2" t="s">
        <v>771</v>
      </c>
    </row>
    <row r="534" spans="1:4" x14ac:dyDescent="0.35">
      <c r="A534" s="2" t="s">
        <v>162</v>
      </c>
      <c r="B534" s="3" t="s">
        <v>776</v>
      </c>
      <c r="C534" s="2" t="s">
        <v>776</v>
      </c>
      <c r="D534" s="2" t="s">
        <v>777</v>
      </c>
    </row>
    <row r="535" spans="1:4" x14ac:dyDescent="0.35">
      <c r="A535" s="2" t="s">
        <v>162</v>
      </c>
      <c r="B535" s="3" t="s">
        <v>778</v>
      </c>
      <c r="C535" s="2" t="s">
        <v>778</v>
      </c>
      <c r="D535" s="2" t="s">
        <v>774</v>
      </c>
    </row>
    <row r="536" spans="1:4" x14ac:dyDescent="0.35">
      <c r="A536" s="2" t="s">
        <v>162</v>
      </c>
      <c r="B536" s="3" t="s">
        <v>779</v>
      </c>
      <c r="C536" s="2" t="s">
        <v>779</v>
      </c>
      <c r="D536" s="2" t="s">
        <v>771</v>
      </c>
    </row>
    <row r="537" spans="1:4" x14ac:dyDescent="0.35">
      <c r="A537" s="2" t="s">
        <v>162</v>
      </c>
      <c r="B537" s="3" t="s">
        <v>780</v>
      </c>
      <c r="C537" s="2" t="s">
        <v>780</v>
      </c>
      <c r="D537" s="2" t="s">
        <v>777</v>
      </c>
    </row>
    <row r="538" spans="1:4" x14ac:dyDescent="0.35">
      <c r="A538" s="2" t="s">
        <v>162</v>
      </c>
      <c r="B538" s="3" t="s">
        <v>781</v>
      </c>
      <c r="C538" s="2" t="s">
        <v>781</v>
      </c>
      <c r="D538" s="2" t="s">
        <v>782</v>
      </c>
    </row>
    <row r="539" spans="1:4" x14ac:dyDescent="0.35">
      <c r="A539" s="2" t="s">
        <v>162</v>
      </c>
      <c r="B539" s="3" t="s">
        <v>783</v>
      </c>
      <c r="C539" s="2" t="s">
        <v>783</v>
      </c>
      <c r="D539" s="2" t="s">
        <v>784</v>
      </c>
    </row>
    <row r="540" spans="1:4" x14ac:dyDescent="0.35">
      <c r="A540" s="2" t="s">
        <v>162</v>
      </c>
      <c r="B540" s="3" t="s">
        <v>979</v>
      </c>
      <c r="C540" s="2" t="s">
        <v>979</v>
      </c>
      <c r="D540" s="2" t="s">
        <v>786</v>
      </c>
    </row>
    <row r="541" spans="1:4" x14ac:dyDescent="0.35">
      <c r="A541" s="2" t="s">
        <v>162</v>
      </c>
      <c r="B541" s="3" t="s">
        <v>787</v>
      </c>
      <c r="C541" s="2" t="s">
        <v>787</v>
      </c>
      <c r="D541" s="2" t="s">
        <v>788</v>
      </c>
    </row>
    <row r="542" spans="1:4" x14ac:dyDescent="0.35">
      <c r="A542" s="2" t="s">
        <v>162</v>
      </c>
      <c r="B542" s="3" t="s">
        <v>789</v>
      </c>
      <c r="C542" s="2" t="s">
        <v>789</v>
      </c>
      <c r="D542" s="2" t="s">
        <v>788</v>
      </c>
    </row>
    <row r="543" spans="1:4" x14ac:dyDescent="0.35">
      <c r="A543" s="2" t="s">
        <v>162</v>
      </c>
      <c r="B543" s="3" t="s">
        <v>790</v>
      </c>
      <c r="C543" s="2" t="s">
        <v>790</v>
      </c>
      <c r="D543" s="2" t="s">
        <v>788</v>
      </c>
    </row>
    <row r="544" spans="1:4" x14ac:dyDescent="0.35">
      <c r="A544" s="2" t="s">
        <v>162</v>
      </c>
      <c r="B544" s="3" t="s">
        <v>791</v>
      </c>
      <c r="C544" s="2" t="s">
        <v>791</v>
      </c>
      <c r="D544" s="2" t="s">
        <v>788</v>
      </c>
    </row>
    <row r="545" spans="1:4" x14ac:dyDescent="0.35">
      <c r="A545" s="2" t="s">
        <v>162</v>
      </c>
      <c r="B545" s="3" t="s">
        <v>792</v>
      </c>
      <c r="C545" s="2" t="s">
        <v>792</v>
      </c>
      <c r="D545" s="2" t="s">
        <v>788</v>
      </c>
    </row>
    <row r="546" spans="1:4" x14ac:dyDescent="0.35">
      <c r="A546" s="2" t="s">
        <v>162</v>
      </c>
      <c r="B546" s="3" t="s">
        <v>793</v>
      </c>
      <c r="C546" s="2" t="s">
        <v>793</v>
      </c>
      <c r="D546" s="2" t="s">
        <v>788</v>
      </c>
    </row>
    <row r="547" spans="1:4" x14ac:dyDescent="0.35">
      <c r="A547" s="2" t="s">
        <v>162</v>
      </c>
      <c r="B547" s="3" t="s">
        <v>794</v>
      </c>
      <c r="C547" s="2" t="s">
        <v>794</v>
      </c>
      <c r="D547" s="2" t="s">
        <v>795</v>
      </c>
    </row>
    <row r="548" spans="1:4" x14ac:dyDescent="0.35">
      <c r="A548" s="2" t="s">
        <v>162</v>
      </c>
      <c r="B548" s="3" t="s">
        <v>796</v>
      </c>
      <c r="C548" s="2" t="s">
        <v>796</v>
      </c>
      <c r="D548" s="2" t="s">
        <v>788</v>
      </c>
    </row>
    <row r="549" spans="1:4" x14ac:dyDescent="0.35">
      <c r="A549" s="2" t="s">
        <v>162</v>
      </c>
      <c r="B549" s="3" t="s">
        <v>797</v>
      </c>
      <c r="C549" s="2" t="s">
        <v>797</v>
      </c>
      <c r="D549" s="2" t="s">
        <v>798</v>
      </c>
    </row>
    <row r="550" spans="1:4" x14ac:dyDescent="0.35">
      <c r="A550" s="2" t="s">
        <v>162</v>
      </c>
      <c r="B550" s="3" t="s">
        <v>799</v>
      </c>
      <c r="C550" s="2" t="s">
        <v>799</v>
      </c>
      <c r="D550" s="2" t="s">
        <v>800</v>
      </c>
    </row>
    <row r="551" spans="1:4" x14ac:dyDescent="0.35">
      <c r="A551" s="2" t="s">
        <v>162</v>
      </c>
      <c r="B551" s="3" t="s">
        <v>801</v>
      </c>
      <c r="C551" s="2" t="s">
        <v>801</v>
      </c>
      <c r="D551" s="2" t="s">
        <v>802</v>
      </c>
    </row>
    <row r="552" spans="1:4" x14ac:dyDescent="0.35">
      <c r="A552" s="2" t="s">
        <v>162</v>
      </c>
      <c r="B552" s="3" t="s">
        <v>803</v>
      </c>
      <c r="C552" s="2" t="s">
        <v>803</v>
      </c>
      <c r="D552" s="2" t="s">
        <v>795</v>
      </c>
    </row>
    <row r="553" spans="1:4" x14ac:dyDescent="0.35">
      <c r="A553" s="2" t="s">
        <v>162</v>
      </c>
      <c r="B553" s="3" t="s">
        <v>804</v>
      </c>
      <c r="C553" s="2" t="s">
        <v>804</v>
      </c>
      <c r="D553" s="2" t="s">
        <v>788</v>
      </c>
    </row>
    <row r="554" spans="1:4" x14ac:dyDescent="0.35">
      <c r="A554" s="2" t="s">
        <v>162</v>
      </c>
      <c r="B554" s="3" t="s">
        <v>805</v>
      </c>
      <c r="C554" s="2" t="s">
        <v>805</v>
      </c>
      <c r="D554" s="2" t="s">
        <v>798</v>
      </c>
    </row>
    <row r="555" spans="1:4" x14ac:dyDescent="0.35">
      <c r="A555" s="2" t="s">
        <v>162</v>
      </c>
      <c r="B555" s="3" t="s">
        <v>806</v>
      </c>
      <c r="C555" s="2" t="s">
        <v>806</v>
      </c>
      <c r="D555" s="2" t="s">
        <v>800</v>
      </c>
    </row>
    <row r="556" spans="1:4" x14ac:dyDescent="0.35">
      <c r="A556" s="2" t="s">
        <v>162</v>
      </c>
      <c r="B556" s="3" t="s">
        <v>807</v>
      </c>
      <c r="C556" s="2" t="s">
        <v>807</v>
      </c>
      <c r="D556" s="2" t="s">
        <v>802</v>
      </c>
    </row>
    <row r="557" spans="1:4" x14ac:dyDescent="0.35">
      <c r="A557" s="2" t="s">
        <v>162</v>
      </c>
      <c r="B557" s="3" t="s">
        <v>808</v>
      </c>
      <c r="C557" s="2" t="s">
        <v>808</v>
      </c>
      <c r="D557" s="2" t="s">
        <v>798</v>
      </c>
    </row>
    <row r="558" spans="1:4" x14ac:dyDescent="0.35">
      <c r="A558" s="2" t="s">
        <v>162</v>
      </c>
      <c r="B558" s="3" t="s">
        <v>809</v>
      </c>
      <c r="C558" s="2" t="s">
        <v>809</v>
      </c>
      <c r="D558" s="2" t="s">
        <v>810</v>
      </c>
    </row>
    <row r="559" spans="1:4" x14ac:dyDescent="0.35">
      <c r="A559" s="2" t="s">
        <v>162</v>
      </c>
      <c r="B559" s="3" t="s">
        <v>811</v>
      </c>
      <c r="C559" s="2" t="s">
        <v>811</v>
      </c>
      <c r="D559" s="2" t="s">
        <v>812</v>
      </c>
    </row>
    <row r="560" spans="1:4" x14ac:dyDescent="0.35">
      <c r="A560" s="2" t="s">
        <v>162</v>
      </c>
      <c r="B560" s="3" t="s">
        <v>813</v>
      </c>
      <c r="C560" s="2" t="s">
        <v>813</v>
      </c>
      <c r="D560" s="2" t="s">
        <v>814</v>
      </c>
    </row>
    <row r="561" spans="1:4" x14ac:dyDescent="0.35">
      <c r="A561" s="2" t="s">
        <v>162</v>
      </c>
      <c r="B561" s="3" t="s">
        <v>815</v>
      </c>
      <c r="C561" s="2" t="s">
        <v>815</v>
      </c>
      <c r="D561" s="2" t="s">
        <v>816</v>
      </c>
    </row>
    <row r="562" spans="1:4" x14ac:dyDescent="0.35">
      <c r="A562" s="2" t="s">
        <v>162</v>
      </c>
      <c r="B562" s="3" t="s">
        <v>817</v>
      </c>
      <c r="C562" s="2" t="s">
        <v>817</v>
      </c>
      <c r="D562" s="2" t="s">
        <v>818</v>
      </c>
    </row>
    <row r="563" spans="1:4" x14ac:dyDescent="0.35">
      <c r="A563" s="2" t="s">
        <v>162</v>
      </c>
      <c r="B563" s="3" t="s">
        <v>819</v>
      </c>
      <c r="C563" s="2" t="s">
        <v>819</v>
      </c>
      <c r="D563" s="2" t="s">
        <v>820</v>
      </c>
    </row>
    <row r="564" spans="1:4" x14ac:dyDescent="0.35">
      <c r="A564" s="2" t="s">
        <v>162</v>
      </c>
      <c r="B564" s="3" t="s">
        <v>821</v>
      </c>
      <c r="C564" s="2" t="s">
        <v>821</v>
      </c>
      <c r="D564" s="2" t="s">
        <v>822</v>
      </c>
    </row>
    <row r="565" spans="1:4" x14ac:dyDescent="0.35">
      <c r="A565" s="2" t="s">
        <v>162</v>
      </c>
      <c r="B565" s="3" t="s">
        <v>823</v>
      </c>
      <c r="C565" s="2" t="s">
        <v>823</v>
      </c>
      <c r="D565" s="2" t="s">
        <v>822</v>
      </c>
    </row>
    <row r="566" spans="1:4" x14ac:dyDescent="0.35">
      <c r="A566" s="2" t="s">
        <v>162</v>
      </c>
      <c r="B566" s="3" t="s">
        <v>824</v>
      </c>
      <c r="C566" s="2" t="s">
        <v>824</v>
      </c>
      <c r="D566" s="2" t="s">
        <v>825</v>
      </c>
    </row>
    <row r="567" spans="1:4" x14ac:dyDescent="0.35">
      <c r="A567" s="2" t="s">
        <v>162</v>
      </c>
      <c r="B567" s="3" t="s">
        <v>826</v>
      </c>
      <c r="C567" s="2" t="s">
        <v>826</v>
      </c>
      <c r="D567" s="2" t="s">
        <v>822</v>
      </c>
    </row>
    <row r="568" spans="1:4" x14ac:dyDescent="0.35">
      <c r="A568" s="2" t="s">
        <v>162</v>
      </c>
      <c r="B568" s="3" t="s">
        <v>827</v>
      </c>
      <c r="C568" s="2" t="s">
        <v>827</v>
      </c>
      <c r="D568" s="2" t="s">
        <v>828</v>
      </c>
    </row>
    <row r="569" spans="1:4" x14ac:dyDescent="0.35">
      <c r="A569" s="2" t="s">
        <v>162</v>
      </c>
      <c r="B569" s="3" t="s">
        <v>829</v>
      </c>
      <c r="C569" s="2" t="s">
        <v>829</v>
      </c>
      <c r="D569" s="2" t="s">
        <v>825</v>
      </c>
    </row>
    <row r="570" spans="1:4" x14ac:dyDescent="0.35">
      <c r="A570" s="2" t="s">
        <v>162</v>
      </c>
      <c r="B570" s="3" t="s">
        <v>830</v>
      </c>
      <c r="C570" s="2" t="s">
        <v>830</v>
      </c>
      <c r="D570" s="2" t="s">
        <v>822</v>
      </c>
    </row>
    <row r="571" spans="1:4" x14ac:dyDescent="0.35">
      <c r="A571" s="2" t="s">
        <v>162</v>
      </c>
      <c r="B571" s="3" t="s">
        <v>831</v>
      </c>
      <c r="C571" s="2" t="s">
        <v>831</v>
      </c>
      <c r="D571" s="2" t="s">
        <v>828</v>
      </c>
    </row>
    <row r="572" spans="1:4" x14ac:dyDescent="0.35">
      <c r="A572" s="2" t="s">
        <v>162</v>
      </c>
      <c r="B572" s="3" t="s">
        <v>832</v>
      </c>
      <c r="C572" s="2" t="s">
        <v>832</v>
      </c>
      <c r="D572" s="2" t="s">
        <v>833</v>
      </c>
    </row>
    <row r="573" spans="1:4" x14ac:dyDescent="0.35">
      <c r="A573" s="2" t="s">
        <v>162</v>
      </c>
      <c r="B573" s="3" t="s">
        <v>834</v>
      </c>
      <c r="C573" s="2" t="s">
        <v>834</v>
      </c>
      <c r="D573" s="2" t="s">
        <v>833</v>
      </c>
    </row>
    <row r="574" spans="1:4" x14ac:dyDescent="0.35">
      <c r="A574" s="2" t="s">
        <v>162</v>
      </c>
      <c r="B574" s="3" t="s">
        <v>835</v>
      </c>
      <c r="C574" s="2" t="s">
        <v>835</v>
      </c>
      <c r="D574" s="2" t="s">
        <v>822</v>
      </c>
    </row>
    <row r="575" spans="1:4" x14ac:dyDescent="0.35">
      <c r="A575" s="2" t="s">
        <v>162</v>
      </c>
      <c r="B575" s="3" t="s">
        <v>836</v>
      </c>
      <c r="C575" s="2" t="s">
        <v>836</v>
      </c>
      <c r="D575" s="2" t="s">
        <v>837</v>
      </c>
    </row>
    <row r="576" spans="1:4" x14ac:dyDescent="0.35">
      <c r="A576" s="2" t="s">
        <v>162</v>
      </c>
      <c r="B576" s="3" t="s">
        <v>838</v>
      </c>
      <c r="C576" s="2" t="s">
        <v>838</v>
      </c>
      <c r="D576" s="2" t="s">
        <v>839</v>
      </c>
    </row>
    <row r="577" spans="1:4" x14ac:dyDescent="0.35">
      <c r="A577" s="2" t="s">
        <v>162</v>
      </c>
      <c r="B577" s="3" t="s">
        <v>840</v>
      </c>
      <c r="C577" s="2" t="s">
        <v>840</v>
      </c>
      <c r="D577" s="2" t="s">
        <v>841</v>
      </c>
    </row>
    <row r="578" spans="1:4" x14ac:dyDescent="0.35">
      <c r="A578" s="2" t="s">
        <v>162</v>
      </c>
      <c r="B578" s="3" t="s">
        <v>842</v>
      </c>
      <c r="C578" s="2" t="s">
        <v>842</v>
      </c>
      <c r="D578" s="2" t="s">
        <v>841</v>
      </c>
    </row>
    <row r="579" spans="1:4" x14ac:dyDescent="0.35">
      <c r="A579" s="2" t="s">
        <v>162</v>
      </c>
      <c r="B579" s="3" t="s">
        <v>843</v>
      </c>
      <c r="C579" s="2" t="s">
        <v>843</v>
      </c>
      <c r="D579" s="2" t="s">
        <v>841</v>
      </c>
    </row>
    <row r="580" spans="1:4" x14ac:dyDescent="0.35">
      <c r="A580" s="2" t="s">
        <v>162</v>
      </c>
      <c r="B580" s="3" t="s">
        <v>844</v>
      </c>
      <c r="C580" s="2" t="s">
        <v>844</v>
      </c>
      <c r="D580" s="2" t="s">
        <v>841</v>
      </c>
    </row>
    <row r="581" spans="1:4" x14ac:dyDescent="0.35">
      <c r="A581" s="2" t="s">
        <v>162</v>
      </c>
      <c r="B581" s="3" t="s">
        <v>845</v>
      </c>
      <c r="C581" s="2" t="s">
        <v>845</v>
      </c>
      <c r="D581" s="2" t="s">
        <v>841</v>
      </c>
    </row>
    <row r="582" spans="1:4" x14ac:dyDescent="0.35">
      <c r="A582" s="2" t="s">
        <v>162</v>
      </c>
      <c r="B582" s="3" t="s">
        <v>846</v>
      </c>
      <c r="C582" s="2" t="s">
        <v>846</v>
      </c>
      <c r="D582" s="2" t="s">
        <v>847</v>
      </c>
    </row>
    <row r="583" spans="1:4" x14ac:dyDescent="0.35">
      <c r="A583" s="2" t="s">
        <v>162</v>
      </c>
      <c r="B583" s="3" t="s">
        <v>848</v>
      </c>
      <c r="C583" s="2" t="s">
        <v>848</v>
      </c>
      <c r="D583" s="2" t="s">
        <v>841</v>
      </c>
    </row>
    <row r="584" spans="1:4" x14ac:dyDescent="0.35">
      <c r="A584" s="2" t="s">
        <v>162</v>
      </c>
      <c r="B584" s="3" t="s">
        <v>849</v>
      </c>
      <c r="C584" s="2" t="s">
        <v>849</v>
      </c>
      <c r="D584" s="2" t="s">
        <v>847</v>
      </c>
    </row>
    <row r="585" spans="1:4" x14ac:dyDescent="0.35">
      <c r="A585" s="2" t="s">
        <v>162</v>
      </c>
      <c r="B585" s="3" t="s">
        <v>850</v>
      </c>
      <c r="C585" s="2" t="s">
        <v>850</v>
      </c>
      <c r="D585" s="2" t="s">
        <v>841</v>
      </c>
    </row>
    <row r="586" spans="1:4" x14ac:dyDescent="0.35">
      <c r="A586" s="2" t="s">
        <v>162</v>
      </c>
      <c r="B586" s="3" t="s">
        <v>851</v>
      </c>
      <c r="C586" s="2" t="s">
        <v>851</v>
      </c>
      <c r="D586" s="2" t="s">
        <v>852</v>
      </c>
    </row>
    <row r="587" spans="1:4" x14ac:dyDescent="0.35">
      <c r="A587" s="2" t="s">
        <v>162</v>
      </c>
      <c r="B587" s="3" t="s">
        <v>853</v>
      </c>
      <c r="C587" s="2" t="s">
        <v>853</v>
      </c>
      <c r="D587" s="2" t="s">
        <v>854</v>
      </c>
    </row>
    <row r="588" spans="1:4" x14ac:dyDescent="0.35">
      <c r="A588" s="2" t="s">
        <v>162</v>
      </c>
      <c r="B588" s="3" t="s">
        <v>855</v>
      </c>
      <c r="C588" s="2" t="s">
        <v>855</v>
      </c>
      <c r="D588" s="2" t="s">
        <v>856</v>
      </c>
    </row>
    <row r="589" spans="1:4" x14ac:dyDescent="0.35">
      <c r="A589" s="2" t="s">
        <v>162</v>
      </c>
      <c r="B589" s="3" t="s">
        <v>857</v>
      </c>
      <c r="C589" s="2" t="s">
        <v>857</v>
      </c>
      <c r="D589" s="2" t="s">
        <v>841</v>
      </c>
    </row>
    <row r="590" spans="1:4" x14ac:dyDescent="0.35">
      <c r="A590" s="2" t="s">
        <v>162</v>
      </c>
      <c r="B590" s="3" t="s">
        <v>858</v>
      </c>
      <c r="C590" s="2" t="s">
        <v>858</v>
      </c>
      <c r="D590" s="2" t="s">
        <v>856</v>
      </c>
    </row>
    <row r="591" spans="1:4" x14ac:dyDescent="0.35">
      <c r="A591" s="2" t="s">
        <v>162</v>
      </c>
      <c r="B591" s="3" t="s">
        <v>859</v>
      </c>
      <c r="C591" s="2" t="s">
        <v>859</v>
      </c>
      <c r="D591" s="2" t="s">
        <v>852</v>
      </c>
    </row>
    <row r="592" spans="1:4" x14ac:dyDescent="0.35">
      <c r="A592" s="2" t="s">
        <v>162</v>
      </c>
      <c r="B592" s="3" t="s">
        <v>860</v>
      </c>
      <c r="C592" s="2" t="s">
        <v>860</v>
      </c>
      <c r="D592" s="2" t="s">
        <v>852</v>
      </c>
    </row>
    <row r="593" spans="1:4" x14ac:dyDescent="0.35">
      <c r="A593" s="2" t="s">
        <v>162</v>
      </c>
      <c r="B593" s="3" t="s">
        <v>861</v>
      </c>
      <c r="C593" s="2" t="s">
        <v>861</v>
      </c>
      <c r="D593" s="2" t="s">
        <v>854</v>
      </c>
    </row>
    <row r="594" spans="1:4" x14ac:dyDescent="0.35">
      <c r="A594" s="2" t="s">
        <v>162</v>
      </c>
      <c r="B594" s="3" t="s">
        <v>862</v>
      </c>
      <c r="C594" s="2" t="s">
        <v>862</v>
      </c>
      <c r="D594" s="2" t="s">
        <v>856</v>
      </c>
    </row>
    <row r="595" spans="1:4" x14ac:dyDescent="0.35">
      <c r="A595" s="2" t="s">
        <v>162</v>
      </c>
      <c r="B595" s="3" t="s">
        <v>863</v>
      </c>
      <c r="C595" s="2" t="s">
        <v>863</v>
      </c>
      <c r="D595" s="2" t="s">
        <v>841</v>
      </c>
    </row>
    <row r="596" spans="1:4" x14ac:dyDescent="0.35">
      <c r="A596" s="2" t="s">
        <v>162</v>
      </c>
      <c r="B596" s="3" t="s">
        <v>864</v>
      </c>
      <c r="C596" s="2" t="s">
        <v>864</v>
      </c>
      <c r="D596" s="2" t="s">
        <v>856</v>
      </c>
    </row>
    <row r="597" spans="1:4" x14ac:dyDescent="0.35">
      <c r="A597" s="2" t="s">
        <v>162</v>
      </c>
      <c r="B597" s="3" t="s">
        <v>865</v>
      </c>
      <c r="C597" s="2" t="s">
        <v>865</v>
      </c>
      <c r="D597" s="2" t="s">
        <v>841</v>
      </c>
    </row>
    <row r="598" spans="1:4" x14ac:dyDescent="0.35">
      <c r="A598" s="2" t="s">
        <v>162</v>
      </c>
      <c r="B598" s="3" t="s">
        <v>866</v>
      </c>
      <c r="C598" s="2" t="s">
        <v>866</v>
      </c>
      <c r="D598" s="2" t="s">
        <v>867</v>
      </c>
    </row>
    <row r="599" spans="1:4" x14ac:dyDescent="0.35">
      <c r="A599" s="2" t="s">
        <v>162</v>
      </c>
      <c r="B599" s="3" t="s">
        <v>868</v>
      </c>
      <c r="C599" s="2" t="s">
        <v>868</v>
      </c>
      <c r="D599" s="2" t="s">
        <v>867</v>
      </c>
    </row>
    <row r="600" spans="1:4" x14ac:dyDescent="0.35">
      <c r="A600" s="2" t="s">
        <v>162</v>
      </c>
      <c r="B600" s="3" t="s">
        <v>869</v>
      </c>
      <c r="C600" s="2" t="s">
        <v>869</v>
      </c>
      <c r="D600" s="2" t="s">
        <v>870</v>
      </c>
    </row>
    <row r="601" spans="1:4" x14ac:dyDescent="0.35">
      <c r="A601" s="2" t="s">
        <v>162</v>
      </c>
      <c r="B601" s="3" t="s">
        <v>871</v>
      </c>
      <c r="C601" s="2" t="s">
        <v>871</v>
      </c>
      <c r="D601" s="2" t="s">
        <v>872</v>
      </c>
    </row>
    <row r="602" spans="1:4" x14ac:dyDescent="0.35">
      <c r="A602" s="2" t="s">
        <v>162</v>
      </c>
      <c r="B602" s="3" t="s">
        <v>873</v>
      </c>
      <c r="C602" s="2" t="s">
        <v>873</v>
      </c>
      <c r="D602" s="2" t="s">
        <v>874</v>
      </c>
    </row>
    <row r="603" spans="1:4" x14ac:dyDescent="0.35">
      <c r="A603" s="2" t="s">
        <v>162</v>
      </c>
      <c r="B603" s="3" t="s">
        <v>875</v>
      </c>
      <c r="C603" s="2" t="s">
        <v>875</v>
      </c>
      <c r="D603" s="2" t="s">
        <v>876</v>
      </c>
    </row>
    <row r="604" spans="1:4" x14ac:dyDescent="0.35">
      <c r="A604" s="2" t="s">
        <v>162</v>
      </c>
      <c r="B604" s="3" t="s">
        <v>877</v>
      </c>
      <c r="C604" s="2" t="s">
        <v>877</v>
      </c>
      <c r="D604" s="2" t="s">
        <v>878</v>
      </c>
    </row>
    <row r="605" spans="1:4" x14ac:dyDescent="0.35">
      <c r="A605" s="2" t="s">
        <v>162</v>
      </c>
      <c r="B605" s="3" t="s">
        <v>879</v>
      </c>
      <c r="C605" s="2" t="s">
        <v>879</v>
      </c>
      <c r="D605" s="2" t="s">
        <v>880</v>
      </c>
    </row>
    <row r="606" spans="1:4" x14ac:dyDescent="0.35">
      <c r="A606" s="2" t="s">
        <v>162</v>
      </c>
      <c r="B606" s="3" t="s">
        <v>881</v>
      </c>
      <c r="C606" s="2" t="s">
        <v>881</v>
      </c>
      <c r="D606" s="2" t="s">
        <v>880</v>
      </c>
    </row>
    <row r="607" spans="1:4" x14ac:dyDescent="0.35">
      <c r="A607" s="2" t="s">
        <v>162</v>
      </c>
      <c r="B607" s="3" t="s">
        <v>882</v>
      </c>
      <c r="C607" s="2" t="s">
        <v>882</v>
      </c>
      <c r="D607" s="2" t="s">
        <v>883</v>
      </c>
    </row>
    <row r="608" spans="1:4" x14ac:dyDescent="0.35">
      <c r="A608" s="2" t="s">
        <v>162</v>
      </c>
      <c r="B608" s="3" t="s">
        <v>884</v>
      </c>
      <c r="C608" s="2" t="s">
        <v>884</v>
      </c>
      <c r="D608" s="2" t="s">
        <v>885</v>
      </c>
    </row>
    <row r="609" spans="1:4" x14ac:dyDescent="0.35">
      <c r="A609" s="2" t="s">
        <v>162</v>
      </c>
      <c r="B609" s="3" t="s">
        <v>886</v>
      </c>
      <c r="C609" s="2" t="s">
        <v>886</v>
      </c>
      <c r="D609" s="2" t="s">
        <v>887</v>
      </c>
    </row>
    <row r="610" spans="1:4" x14ac:dyDescent="0.35">
      <c r="A610" s="2" t="s">
        <v>162</v>
      </c>
      <c r="B610" s="3" t="s">
        <v>888</v>
      </c>
      <c r="C610" s="2" t="s">
        <v>888</v>
      </c>
      <c r="D610" s="2" t="s">
        <v>883</v>
      </c>
    </row>
    <row r="611" spans="1:4" x14ac:dyDescent="0.35">
      <c r="A611" s="2" t="s">
        <v>162</v>
      </c>
      <c r="B611" s="3" t="s">
        <v>889</v>
      </c>
      <c r="C611" s="2" t="s">
        <v>889</v>
      </c>
      <c r="D611" s="2" t="s">
        <v>885</v>
      </c>
    </row>
    <row r="612" spans="1:4" x14ac:dyDescent="0.35">
      <c r="A612" s="2" t="s">
        <v>162</v>
      </c>
      <c r="B612" s="3" t="s">
        <v>890</v>
      </c>
      <c r="C612" s="2" t="s">
        <v>890</v>
      </c>
      <c r="D612" s="2" t="s">
        <v>887</v>
      </c>
    </row>
    <row r="613" spans="1:4" x14ac:dyDescent="0.35">
      <c r="A613" s="2" t="s">
        <v>162</v>
      </c>
      <c r="B613" s="3" t="s">
        <v>891</v>
      </c>
      <c r="C613" s="2" t="s">
        <v>891</v>
      </c>
      <c r="D613" s="2" t="s">
        <v>885</v>
      </c>
    </row>
    <row r="614" spans="1:4" x14ac:dyDescent="0.35">
      <c r="A614" s="2" t="s">
        <v>162</v>
      </c>
      <c r="B614" s="3" t="s">
        <v>892</v>
      </c>
      <c r="C614" s="2" t="s">
        <v>892</v>
      </c>
      <c r="D614" s="2" t="s">
        <v>885</v>
      </c>
    </row>
    <row r="615" spans="1:4" x14ac:dyDescent="0.35">
      <c r="A615" s="2" t="s">
        <v>162</v>
      </c>
      <c r="B615" s="3" t="s">
        <v>893</v>
      </c>
      <c r="C615" s="2" t="s">
        <v>893</v>
      </c>
      <c r="D615" s="2" t="s">
        <v>885</v>
      </c>
    </row>
    <row r="616" spans="1:4" x14ac:dyDescent="0.35">
      <c r="A616" s="2" t="s">
        <v>162</v>
      </c>
      <c r="B616" s="3" t="s">
        <v>894</v>
      </c>
      <c r="C616" s="2" t="s">
        <v>894</v>
      </c>
      <c r="D616" s="2" t="s">
        <v>880</v>
      </c>
    </row>
    <row r="617" spans="1:4" x14ac:dyDescent="0.35">
      <c r="A617" s="2" t="s">
        <v>162</v>
      </c>
      <c r="B617" s="3" t="s">
        <v>895</v>
      </c>
      <c r="C617" s="2" t="s">
        <v>895</v>
      </c>
      <c r="D617" s="2" t="s">
        <v>896</v>
      </c>
    </row>
    <row r="618" spans="1:4" x14ac:dyDescent="0.35">
      <c r="A618" s="2" t="s">
        <v>162</v>
      </c>
      <c r="B618" s="3" t="s">
        <v>897</v>
      </c>
      <c r="C618" s="2" t="s">
        <v>897</v>
      </c>
      <c r="D618" s="2" t="s">
        <v>898</v>
      </c>
    </row>
    <row r="619" spans="1:4" x14ac:dyDescent="0.35">
      <c r="A619" s="2" t="s">
        <v>162</v>
      </c>
      <c r="B619" s="3" t="s">
        <v>899</v>
      </c>
      <c r="C619" s="2" t="s">
        <v>899</v>
      </c>
      <c r="D619" s="2" t="s">
        <v>900</v>
      </c>
    </row>
    <row r="620" spans="1:4" x14ac:dyDescent="0.35">
      <c r="A620" s="2" t="s">
        <v>162</v>
      </c>
      <c r="B620" s="3" t="s">
        <v>901</v>
      </c>
      <c r="C620" s="2" t="s">
        <v>901</v>
      </c>
      <c r="D620" s="2" t="s">
        <v>900</v>
      </c>
    </row>
    <row r="621" spans="1:4" x14ac:dyDescent="0.35">
      <c r="A621" s="2" t="s">
        <v>162</v>
      </c>
      <c r="B621" s="3" t="s">
        <v>902</v>
      </c>
      <c r="C621" s="2" t="s">
        <v>902</v>
      </c>
      <c r="D621" s="2" t="s">
        <v>900</v>
      </c>
    </row>
    <row r="622" spans="1:4" x14ac:dyDescent="0.35">
      <c r="A622" s="2" t="s">
        <v>162</v>
      </c>
      <c r="B622" s="3" t="s">
        <v>903</v>
      </c>
      <c r="C622" s="2" t="s">
        <v>903</v>
      </c>
      <c r="D622" s="2" t="s">
        <v>900</v>
      </c>
    </row>
    <row r="623" spans="1:4" x14ac:dyDescent="0.35">
      <c r="A623" s="2" t="s">
        <v>162</v>
      </c>
      <c r="B623" s="3" t="s">
        <v>904</v>
      </c>
      <c r="C623" s="2" t="s">
        <v>904</v>
      </c>
      <c r="D623" s="2" t="s">
        <v>900</v>
      </c>
    </row>
    <row r="624" spans="1:4" x14ac:dyDescent="0.35">
      <c r="A624" s="2" t="s">
        <v>162</v>
      </c>
      <c r="B624" s="3" t="s">
        <v>905</v>
      </c>
      <c r="C624" s="2" t="s">
        <v>905</v>
      </c>
      <c r="D624" s="2" t="s">
        <v>906</v>
      </c>
    </row>
    <row r="625" spans="1:4" x14ac:dyDescent="0.35">
      <c r="A625" s="2" t="s">
        <v>162</v>
      </c>
      <c r="B625" s="3" t="s">
        <v>907</v>
      </c>
      <c r="C625" s="2" t="s">
        <v>907</v>
      </c>
      <c r="D625" s="2" t="s">
        <v>900</v>
      </c>
    </row>
    <row r="626" spans="1:4" x14ac:dyDescent="0.35">
      <c r="A626" s="2" t="s">
        <v>162</v>
      </c>
      <c r="B626" s="3" t="s">
        <v>908</v>
      </c>
      <c r="C626" s="2" t="s">
        <v>908</v>
      </c>
      <c r="D626" s="2" t="s">
        <v>909</v>
      </c>
    </row>
    <row r="627" spans="1:4" x14ac:dyDescent="0.35">
      <c r="A627" s="2" t="s">
        <v>162</v>
      </c>
      <c r="B627" s="3" t="s">
        <v>910</v>
      </c>
      <c r="C627" s="2" t="s">
        <v>910</v>
      </c>
      <c r="D627" s="2" t="s">
        <v>911</v>
      </c>
    </row>
    <row r="628" spans="1:4" x14ac:dyDescent="0.35">
      <c r="A628" s="2" t="s">
        <v>162</v>
      </c>
      <c r="B628" s="3" t="s">
        <v>912</v>
      </c>
      <c r="C628" s="2" t="s">
        <v>912</v>
      </c>
      <c r="D628" s="2" t="s">
        <v>906</v>
      </c>
    </row>
    <row r="629" spans="1:4" x14ac:dyDescent="0.35">
      <c r="A629" s="2" t="s">
        <v>162</v>
      </c>
      <c r="B629" s="3" t="s">
        <v>913</v>
      </c>
      <c r="C629" s="2" t="s">
        <v>913</v>
      </c>
      <c r="D629" s="2" t="s">
        <v>900</v>
      </c>
    </row>
    <row r="630" spans="1:4" x14ac:dyDescent="0.35">
      <c r="A630" s="2" t="s">
        <v>162</v>
      </c>
      <c r="B630" s="3" t="s">
        <v>914</v>
      </c>
      <c r="C630" s="2" t="s">
        <v>914</v>
      </c>
      <c r="D630" s="2" t="s">
        <v>915</v>
      </c>
    </row>
    <row r="631" spans="1:4" x14ac:dyDescent="0.35">
      <c r="A631" s="2" t="s">
        <v>162</v>
      </c>
      <c r="B631" s="3" t="s">
        <v>916</v>
      </c>
      <c r="C631" s="2" t="s">
        <v>916</v>
      </c>
      <c r="D631" s="2" t="s">
        <v>917</v>
      </c>
    </row>
    <row r="632" spans="1:4" x14ac:dyDescent="0.35">
      <c r="A632" s="2" t="s">
        <v>162</v>
      </c>
      <c r="B632" s="3" t="s">
        <v>918</v>
      </c>
      <c r="C632" s="2" t="s">
        <v>918</v>
      </c>
      <c r="D632" s="2" t="s">
        <v>919</v>
      </c>
    </row>
    <row r="633" spans="1:4" x14ac:dyDescent="0.35">
      <c r="A633" s="2" t="s">
        <v>162</v>
      </c>
      <c r="B633" s="3" t="s">
        <v>920</v>
      </c>
      <c r="C633" s="2" t="s">
        <v>920</v>
      </c>
      <c r="D633" s="2" t="s">
        <v>921</v>
      </c>
    </row>
    <row r="634" spans="1:4" x14ac:dyDescent="0.35">
      <c r="A634" s="2" t="s">
        <v>162</v>
      </c>
      <c r="B634" s="3" t="s">
        <v>922</v>
      </c>
      <c r="C634" s="2" t="s">
        <v>922</v>
      </c>
      <c r="D634" s="2" t="s">
        <v>919</v>
      </c>
    </row>
    <row r="635" spans="1:4" x14ac:dyDescent="0.35">
      <c r="A635" s="2" t="s">
        <v>162</v>
      </c>
      <c r="B635" s="3" t="s">
        <v>923</v>
      </c>
      <c r="C635" s="2" t="s">
        <v>923</v>
      </c>
      <c r="D635" s="2" t="s">
        <v>924</v>
      </c>
    </row>
    <row r="636" spans="1:4" x14ac:dyDescent="0.35">
      <c r="A636" s="2" t="s">
        <v>162</v>
      </c>
      <c r="B636" s="3" t="s">
        <v>925</v>
      </c>
      <c r="C636" s="2" t="s">
        <v>925</v>
      </c>
      <c r="D636" s="2" t="s">
        <v>900</v>
      </c>
    </row>
    <row r="637" spans="1:4" x14ac:dyDescent="0.35">
      <c r="A637" s="2" t="s">
        <v>162</v>
      </c>
      <c r="B637" s="3" t="s">
        <v>926</v>
      </c>
      <c r="C637" s="2" t="s">
        <v>926</v>
      </c>
      <c r="D637" s="2" t="s">
        <v>919</v>
      </c>
    </row>
    <row r="638" spans="1:4" x14ac:dyDescent="0.35">
      <c r="A638" s="2" t="s">
        <v>162</v>
      </c>
      <c r="B638" s="3" t="s">
        <v>927</v>
      </c>
      <c r="C638" s="2" t="s">
        <v>927</v>
      </c>
      <c r="D638" s="2" t="s">
        <v>921</v>
      </c>
    </row>
    <row r="639" spans="1:4" x14ac:dyDescent="0.35">
      <c r="A639" s="2" t="s">
        <v>162</v>
      </c>
      <c r="B639" s="3" t="s">
        <v>928</v>
      </c>
      <c r="C639" s="2" t="s">
        <v>928</v>
      </c>
      <c r="D639" s="2" t="s">
        <v>919</v>
      </c>
    </row>
    <row r="640" spans="1:4" x14ac:dyDescent="0.35">
      <c r="A640" s="2" t="s">
        <v>162</v>
      </c>
      <c r="B640" s="3" t="s">
        <v>929</v>
      </c>
      <c r="C640" s="2" t="s">
        <v>929</v>
      </c>
      <c r="D640" s="2" t="s">
        <v>924</v>
      </c>
    </row>
    <row r="641" spans="1:4" x14ac:dyDescent="0.35">
      <c r="A641" s="2" t="s">
        <v>162</v>
      </c>
      <c r="B641" s="3" t="s">
        <v>930</v>
      </c>
      <c r="C641" s="2" t="s">
        <v>930</v>
      </c>
      <c r="D641" s="2" t="s">
        <v>921</v>
      </c>
    </row>
    <row r="642" spans="1:4" x14ac:dyDescent="0.35">
      <c r="A642" s="2" t="s">
        <v>162</v>
      </c>
      <c r="B642" s="3" t="s">
        <v>931</v>
      </c>
      <c r="C642" s="2" t="s">
        <v>931</v>
      </c>
      <c r="D642" s="2" t="s">
        <v>921</v>
      </c>
    </row>
    <row r="643" spans="1:4" x14ac:dyDescent="0.35">
      <c r="A643" s="2" t="s">
        <v>162</v>
      </c>
      <c r="B643" s="3" t="s">
        <v>932</v>
      </c>
      <c r="C643" s="2" t="s">
        <v>932</v>
      </c>
      <c r="D643" s="2" t="s">
        <v>919</v>
      </c>
    </row>
    <row r="644" spans="1:4" x14ac:dyDescent="0.35">
      <c r="A644" s="2" t="s">
        <v>162</v>
      </c>
      <c r="B644" s="3" t="s">
        <v>933</v>
      </c>
      <c r="C644" s="2" t="s">
        <v>933</v>
      </c>
      <c r="D644" s="2" t="s">
        <v>921</v>
      </c>
    </row>
    <row r="645" spans="1:4" x14ac:dyDescent="0.35">
      <c r="A645" s="2" t="s">
        <v>162</v>
      </c>
      <c r="B645" s="3" t="s">
        <v>934</v>
      </c>
      <c r="C645" s="2" t="s">
        <v>934</v>
      </c>
      <c r="D645" s="2" t="s">
        <v>919</v>
      </c>
    </row>
    <row r="646" spans="1:4" x14ac:dyDescent="0.35">
      <c r="A646" s="2" t="s">
        <v>162</v>
      </c>
      <c r="B646" s="3" t="s">
        <v>935</v>
      </c>
      <c r="C646" s="2" t="s">
        <v>935</v>
      </c>
      <c r="D646" s="2" t="s">
        <v>924</v>
      </c>
    </row>
    <row r="647" spans="1:4" x14ac:dyDescent="0.35">
      <c r="A647" s="2" t="s">
        <v>162</v>
      </c>
      <c r="B647" s="3" t="s">
        <v>936</v>
      </c>
      <c r="C647" s="2" t="s">
        <v>936</v>
      </c>
      <c r="D647" s="2" t="s">
        <v>900</v>
      </c>
    </row>
    <row r="648" spans="1:4" x14ac:dyDescent="0.35">
      <c r="A648" s="2" t="s">
        <v>162</v>
      </c>
      <c r="B648" s="3" t="s">
        <v>937</v>
      </c>
      <c r="C648" s="2" t="s">
        <v>937</v>
      </c>
      <c r="D648" s="2" t="s">
        <v>919</v>
      </c>
    </row>
    <row r="649" spans="1:4" x14ac:dyDescent="0.35">
      <c r="A649" s="2" t="s">
        <v>162</v>
      </c>
      <c r="B649" s="3" t="s">
        <v>938</v>
      </c>
      <c r="C649" s="2" t="s">
        <v>938</v>
      </c>
      <c r="D649" s="2" t="s">
        <v>921</v>
      </c>
    </row>
    <row r="650" spans="1:4" x14ac:dyDescent="0.35">
      <c r="A650" s="2" t="s">
        <v>162</v>
      </c>
      <c r="B650" s="3" t="s">
        <v>939</v>
      </c>
      <c r="C650" s="2" t="s">
        <v>939</v>
      </c>
      <c r="D650" s="2" t="s">
        <v>919</v>
      </c>
    </row>
    <row r="651" spans="1:4" x14ac:dyDescent="0.35">
      <c r="A651" s="2" t="s">
        <v>162</v>
      </c>
      <c r="B651" s="3" t="s">
        <v>940</v>
      </c>
      <c r="C651" s="2" t="s">
        <v>940</v>
      </c>
      <c r="D651" s="2" t="s">
        <v>924</v>
      </c>
    </row>
    <row r="652" spans="1:4" x14ac:dyDescent="0.35">
      <c r="A652" s="2" t="s">
        <v>162</v>
      </c>
      <c r="B652" s="3" t="s">
        <v>941</v>
      </c>
      <c r="C652" s="2" t="s">
        <v>941</v>
      </c>
      <c r="D652" s="2" t="s">
        <v>900</v>
      </c>
    </row>
    <row r="653" spans="1:4" x14ac:dyDescent="0.35">
      <c r="A653" s="2" t="s">
        <v>162</v>
      </c>
      <c r="B653" s="3" t="s">
        <v>942</v>
      </c>
      <c r="C653" s="2" t="s">
        <v>942</v>
      </c>
      <c r="D653" s="2" t="s">
        <v>900</v>
      </c>
    </row>
    <row r="654" spans="1:4" x14ac:dyDescent="0.35">
      <c r="A654" s="2" t="s">
        <v>162</v>
      </c>
      <c r="B654" s="3" t="s">
        <v>943</v>
      </c>
      <c r="C654" s="2" t="s">
        <v>943</v>
      </c>
      <c r="D654" s="2" t="s">
        <v>944</v>
      </c>
    </row>
    <row r="655" spans="1:4" x14ac:dyDescent="0.35">
      <c r="A655" s="2" t="s">
        <v>162</v>
      </c>
      <c r="B655" s="3" t="s">
        <v>945</v>
      </c>
      <c r="C655" s="2" t="s">
        <v>945</v>
      </c>
      <c r="D655" s="2" t="s">
        <v>944</v>
      </c>
    </row>
    <row r="656" spans="1:4" x14ac:dyDescent="0.35">
      <c r="A656" s="2" t="s">
        <v>162</v>
      </c>
      <c r="B656" s="3" t="s">
        <v>946</v>
      </c>
      <c r="C656" s="2" t="s">
        <v>946</v>
      </c>
      <c r="D656" s="2" t="s">
        <v>944</v>
      </c>
    </row>
    <row r="657" spans="1:4" x14ac:dyDescent="0.35">
      <c r="A657" s="2" t="s">
        <v>162</v>
      </c>
      <c r="B657" s="3" t="s">
        <v>947</v>
      </c>
      <c r="C657" s="2" t="s">
        <v>947</v>
      </c>
      <c r="D657" s="2" t="s">
        <v>944</v>
      </c>
    </row>
    <row r="658" spans="1:4" x14ac:dyDescent="0.35">
      <c r="A658" s="2" t="s">
        <v>162</v>
      </c>
      <c r="B658" s="3" t="s">
        <v>948</v>
      </c>
      <c r="C658" s="2" t="s">
        <v>948</v>
      </c>
      <c r="D658" s="2" t="s">
        <v>949</v>
      </c>
    </row>
    <row r="659" spans="1:4" x14ac:dyDescent="0.35">
      <c r="A659" s="2" t="s">
        <v>162</v>
      </c>
      <c r="B659" s="3" t="s">
        <v>950</v>
      </c>
      <c r="C659" s="2" t="s">
        <v>950</v>
      </c>
      <c r="D659" s="2" t="s">
        <v>951</v>
      </c>
    </row>
    <row r="660" spans="1:4" x14ac:dyDescent="0.35">
      <c r="A660" s="2" t="s">
        <v>162</v>
      </c>
      <c r="B660" s="3" t="s">
        <v>952</v>
      </c>
      <c r="C660" s="2" t="s">
        <v>952</v>
      </c>
      <c r="D660" s="2" t="s">
        <v>953</v>
      </c>
    </row>
    <row r="661" spans="1:4" x14ac:dyDescent="0.35">
      <c r="A661" s="2" t="s">
        <v>162</v>
      </c>
      <c r="B661" s="3" t="s">
        <v>954</v>
      </c>
      <c r="C661" s="2" t="s">
        <v>954</v>
      </c>
      <c r="D661" s="2" t="s">
        <v>953</v>
      </c>
    </row>
    <row r="662" spans="1:4" x14ac:dyDescent="0.35">
      <c r="A662" s="2" t="s">
        <v>162</v>
      </c>
      <c r="B662" s="3" t="s">
        <v>955</v>
      </c>
      <c r="C662" s="2" t="s">
        <v>955</v>
      </c>
      <c r="D662" s="2" t="s">
        <v>956</v>
      </c>
    </row>
    <row r="663" spans="1:4" x14ac:dyDescent="0.35">
      <c r="A663" s="2" t="s">
        <v>162</v>
      </c>
      <c r="B663" s="3" t="s">
        <v>957</v>
      </c>
      <c r="C663" s="2" t="s">
        <v>957</v>
      </c>
      <c r="D663" s="2" t="s">
        <v>958</v>
      </c>
    </row>
    <row r="664" spans="1:4" x14ac:dyDescent="0.35">
      <c r="A664" s="2" t="s">
        <v>162</v>
      </c>
      <c r="B664" s="3" t="s">
        <v>980</v>
      </c>
      <c r="C664" s="2" t="s">
        <v>980</v>
      </c>
      <c r="D664" s="2" t="s">
        <v>959</v>
      </c>
    </row>
    <row r="665" spans="1:4" x14ac:dyDescent="0.35">
      <c r="A665" s="2" t="s">
        <v>162</v>
      </c>
      <c r="B665" s="3" t="s">
        <v>960</v>
      </c>
      <c r="C665" s="2" t="s">
        <v>960</v>
      </c>
      <c r="D665" s="2" t="s">
        <v>961</v>
      </c>
    </row>
    <row r="666" spans="1:4" x14ac:dyDescent="0.35">
      <c r="A666" s="2" t="s">
        <v>162</v>
      </c>
      <c r="B666" s="3" t="s">
        <v>962</v>
      </c>
      <c r="C666" s="2" t="s">
        <v>962</v>
      </c>
      <c r="D666" s="2" t="s">
        <v>961</v>
      </c>
    </row>
    <row r="667" spans="1:4" x14ac:dyDescent="0.35">
      <c r="A667" s="2" t="s">
        <v>162</v>
      </c>
      <c r="B667" s="3" t="s">
        <v>963</v>
      </c>
      <c r="C667" s="2" t="s">
        <v>963</v>
      </c>
      <c r="D667" s="2" t="s">
        <v>964</v>
      </c>
    </row>
    <row r="668" spans="1:4" x14ac:dyDescent="0.35">
      <c r="A668" s="2" t="s">
        <v>162</v>
      </c>
      <c r="B668" s="3" t="s">
        <v>965</v>
      </c>
      <c r="C668" s="2" t="s">
        <v>965</v>
      </c>
      <c r="D668" s="2" t="s">
        <v>966</v>
      </c>
    </row>
    <row r="669" spans="1:4" x14ac:dyDescent="0.35">
      <c r="A669" s="2" t="s">
        <v>162</v>
      </c>
      <c r="B669" s="3" t="s">
        <v>967</v>
      </c>
      <c r="C669" s="2" t="s">
        <v>967</v>
      </c>
      <c r="D669" s="2" t="s">
        <v>968</v>
      </c>
    </row>
    <row r="670" spans="1:4" x14ac:dyDescent="0.35">
      <c r="A670" s="2" t="s">
        <v>162</v>
      </c>
      <c r="B670" s="3" t="s">
        <v>969</v>
      </c>
      <c r="C670" s="2" t="s">
        <v>969</v>
      </c>
      <c r="D670" s="2" t="s">
        <v>970</v>
      </c>
    </row>
    <row r="671" spans="1:4" x14ac:dyDescent="0.35">
      <c r="A671" s="2" t="s">
        <v>162</v>
      </c>
      <c r="B671" s="3" t="s">
        <v>971</v>
      </c>
      <c r="C671" s="2" t="s">
        <v>971</v>
      </c>
      <c r="D671" s="2" t="s">
        <v>972</v>
      </c>
    </row>
    <row r="672" spans="1:4" x14ac:dyDescent="0.35">
      <c r="A672" s="2" t="s">
        <v>162</v>
      </c>
      <c r="B672" s="3" t="s">
        <v>973</v>
      </c>
      <c r="C672" s="2" t="s">
        <v>973</v>
      </c>
      <c r="D672" s="2" t="s">
        <v>966</v>
      </c>
    </row>
    <row r="673" spans="1:4" x14ac:dyDescent="0.35">
      <c r="A673" s="2" t="s">
        <v>162</v>
      </c>
      <c r="B673" s="3" t="s">
        <v>974</v>
      </c>
      <c r="C673" s="2" t="s">
        <v>974</v>
      </c>
      <c r="D673" s="2" t="s">
        <v>968</v>
      </c>
    </row>
    <row r="674" spans="1:4" x14ac:dyDescent="0.35">
      <c r="A674" s="2" t="s">
        <v>162</v>
      </c>
      <c r="B674" s="3" t="s">
        <v>975</v>
      </c>
      <c r="C674" s="2" t="s">
        <v>975</v>
      </c>
      <c r="D674" s="2" t="s">
        <v>970</v>
      </c>
    </row>
    <row r="675" spans="1:4" x14ac:dyDescent="0.35">
      <c r="A675" s="2" t="s">
        <v>162</v>
      </c>
      <c r="B675" s="3" t="s">
        <v>976</v>
      </c>
      <c r="C675" s="2" t="s">
        <v>976</v>
      </c>
      <c r="D675" s="2" t="s">
        <v>966</v>
      </c>
    </row>
    <row r="676" spans="1:4" x14ac:dyDescent="0.35">
      <c r="A676" s="2" t="s">
        <v>162</v>
      </c>
      <c r="B676" s="3" t="s">
        <v>977</v>
      </c>
      <c r="C676" s="2" t="s">
        <v>977</v>
      </c>
      <c r="D676" s="2" t="s">
        <v>978</v>
      </c>
    </row>
    <row r="677" spans="1:4" x14ac:dyDescent="0.35">
      <c r="A677" s="2" t="s">
        <v>375</v>
      </c>
      <c r="B677" s="3">
        <v>10000</v>
      </c>
      <c r="C677" s="2">
        <v>10000</v>
      </c>
      <c r="D677" s="2" t="s">
        <v>656</v>
      </c>
    </row>
    <row r="678" spans="1:4" x14ac:dyDescent="0.35">
      <c r="A678" s="2" t="s">
        <v>375</v>
      </c>
      <c r="B678" s="3">
        <v>10001</v>
      </c>
      <c r="C678" s="2">
        <v>10001</v>
      </c>
      <c r="D678" s="2" t="s">
        <v>657</v>
      </c>
    </row>
    <row r="679" spans="1:4" x14ac:dyDescent="0.35">
      <c r="A679" s="2" t="s">
        <v>375</v>
      </c>
      <c r="B679" s="3">
        <v>10002</v>
      </c>
      <c r="C679" s="2">
        <v>10002</v>
      </c>
      <c r="D679" s="2" t="s">
        <v>658</v>
      </c>
    </row>
    <row r="680" spans="1:4" x14ac:dyDescent="0.35">
      <c r="A680" s="2" t="s">
        <v>375</v>
      </c>
      <c r="B680" s="3">
        <v>10003</v>
      </c>
      <c r="C680" s="2">
        <v>10003</v>
      </c>
      <c r="D680" s="2" t="s">
        <v>659</v>
      </c>
    </row>
    <row r="681" spans="1:4" x14ac:dyDescent="0.35">
      <c r="A681" s="2" t="s">
        <v>375</v>
      </c>
      <c r="B681" s="3">
        <v>10004</v>
      </c>
      <c r="C681" s="2">
        <v>10004</v>
      </c>
      <c r="D681" s="2" t="s">
        <v>660</v>
      </c>
    </row>
    <row r="682" spans="1:4" x14ac:dyDescent="0.35">
      <c r="A682" s="2" t="s">
        <v>375</v>
      </c>
      <c r="B682" s="3">
        <v>10005</v>
      </c>
      <c r="C682" s="2">
        <v>10005</v>
      </c>
      <c r="D682" s="2" t="s">
        <v>661</v>
      </c>
    </row>
    <row r="683" spans="1:4" x14ac:dyDescent="0.35">
      <c r="A683" s="2" t="s">
        <v>375</v>
      </c>
      <c r="B683" s="3">
        <v>10006</v>
      </c>
      <c r="C683" s="2">
        <v>10006</v>
      </c>
      <c r="D683" s="2" t="s">
        <v>662</v>
      </c>
    </row>
    <row r="684" spans="1:4" x14ac:dyDescent="0.35">
      <c r="A684" s="2" t="s">
        <v>375</v>
      </c>
      <c r="B684" s="3">
        <v>10007</v>
      </c>
      <c r="C684" s="2">
        <v>10007</v>
      </c>
      <c r="D684" s="2" t="s">
        <v>646</v>
      </c>
    </row>
    <row r="685" spans="1:4" x14ac:dyDescent="0.35">
      <c r="A685" s="2" t="s">
        <v>375</v>
      </c>
      <c r="B685" s="3">
        <v>10008</v>
      </c>
      <c r="C685" s="2">
        <v>10008</v>
      </c>
      <c r="D685" s="2" t="s">
        <v>663</v>
      </c>
    </row>
    <row r="686" spans="1:4" x14ac:dyDescent="0.35">
      <c r="A686" s="2" t="s">
        <v>375</v>
      </c>
      <c r="B686" s="3">
        <v>10009</v>
      </c>
      <c r="C686" s="2">
        <v>10009</v>
      </c>
      <c r="D686" s="2" t="s">
        <v>664</v>
      </c>
    </row>
    <row r="687" spans="1:4" x14ac:dyDescent="0.35">
      <c r="A687" s="2" t="s">
        <v>375</v>
      </c>
      <c r="B687" s="3">
        <v>12000</v>
      </c>
      <c r="C687" s="2">
        <v>12000</v>
      </c>
      <c r="D687" s="2" t="s">
        <v>665</v>
      </c>
    </row>
    <row r="688" spans="1:4" x14ac:dyDescent="0.35">
      <c r="A688" s="2" t="s">
        <v>375</v>
      </c>
      <c r="B688" s="3">
        <v>13000</v>
      </c>
      <c r="C688" s="2">
        <v>13000</v>
      </c>
      <c r="D688" s="2" t="s">
        <v>666</v>
      </c>
    </row>
    <row r="689" spans="1:4" x14ac:dyDescent="0.35">
      <c r="A689" s="2" t="s">
        <v>375</v>
      </c>
      <c r="B689" s="3">
        <v>13000</v>
      </c>
      <c r="C689" s="2">
        <v>13000</v>
      </c>
      <c r="D689" s="2" t="s">
        <v>666</v>
      </c>
    </row>
    <row r="690" spans="1:4" x14ac:dyDescent="0.35">
      <c r="A690" s="2" t="s">
        <v>375</v>
      </c>
      <c r="B690" s="3">
        <v>20000</v>
      </c>
      <c r="C690" s="2">
        <v>20000</v>
      </c>
      <c r="D690" s="2" t="s">
        <v>667</v>
      </c>
    </row>
    <row r="691" spans="1:4" x14ac:dyDescent="0.35">
      <c r="A691" s="2" t="s">
        <v>375</v>
      </c>
      <c r="B691" s="3">
        <v>30000</v>
      </c>
      <c r="C691" s="2">
        <v>30000</v>
      </c>
      <c r="D691" s="2" t="s">
        <v>668</v>
      </c>
    </row>
    <row r="692" spans="1:4" x14ac:dyDescent="0.35">
      <c r="A692" s="2" t="s">
        <v>375</v>
      </c>
      <c r="B692" s="3">
        <v>30000</v>
      </c>
      <c r="C692" s="2">
        <v>30000</v>
      </c>
      <c r="D692" s="2" t="s">
        <v>669</v>
      </c>
    </row>
    <row r="693" spans="1:4" x14ac:dyDescent="0.35">
      <c r="A693" s="2" t="s">
        <v>375</v>
      </c>
      <c r="B693" s="3">
        <v>30001</v>
      </c>
      <c r="C693" s="2">
        <v>30001</v>
      </c>
      <c r="D693" s="2" t="s">
        <v>670</v>
      </c>
    </row>
    <row r="694" spans="1:4" x14ac:dyDescent="0.35">
      <c r="A694" s="2" t="s">
        <v>375</v>
      </c>
      <c r="B694" s="3">
        <v>30002</v>
      </c>
      <c r="C694" s="2">
        <v>30002</v>
      </c>
      <c r="D694" s="2" t="s">
        <v>671</v>
      </c>
    </row>
    <row r="695" spans="1:4" x14ac:dyDescent="0.35">
      <c r="A695" s="2" t="s">
        <v>375</v>
      </c>
      <c r="B695" s="3">
        <v>30003</v>
      </c>
      <c r="C695" s="2">
        <v>30003</v>
      </c>
      <c r="D695" s="2" t="s">
        <v>672</v>
      </c>
    </row>
    <row r="696" spans="1:4" x14ac:dyDescent="0.35">
      <c r="A696" s="2" t="s">
        <v>375</v>
      </c>
      <c r="B696" s="3">
        <v>40000</v>
      </c>
      <c r="C696" s="2">
        <v>40000</v>
      </c>
      <c r="D696" s="2" t="s">
        <v>673</v>
      </c>
    </row>
    <row r="697" spans="1:4" x14ac:dyDescent="0.35">
      <c r="A697" s="2" t="s">
        <v>375</v>
      </c>
      <c r="B697" s="3">
        <v>40000</v>
      </c>
      <c r="C697" s="2">
        <v>40000</v>
      </c>
      <c r="D697" s="2" t="s">
        <v>674</v>
      </c>
    </row>
    <row r="698" spans="1:4" x14ac:dyDescent="0.35">
      <c r="A698" s="2" t="s">
        <v>375</v>
      </c>
      <c r="B698" s="3">
        <v>40001</v>
      </c>
      <c r="C698" s="2">
        <v>40001</v>
      </c>
      <c r="D698" s="2" t="s">
        <v>675</v>
      </c>
    </row>
    <row r="699" spans="1:4" x14ac:dyDescent="0.35">
      <c r="A699" s="2" t="s">
        <v>375</v>
      </c>
      <c r="B699" s="3">
        <v>40002</v>
      </c>
      <c r="C699" s="2">
        <v>40002</v>
      </c>
      <c r="D699" s="2" t="s">
        <v>676</v>
      </c>
    </row>
    <row r="700" spans="1:4" x14ac:dyDescent="0.35">
      <c r="A700" s="2" t="s">
        <v>375</v>
      </c>
      <c r="B700" s="3">
        <v>40003</v>
      </c>
      <c r="C700" s="2">
        <v>40003</v>
      </c>
      <c r="D700" s="2" t="s">
        <v>677</v>
      </c>
    </row>
    <row r="701" spans="1:4" x14ac:dyDescent="0.35">
      <c r="A701" s="2" t="s">
        <v>375</v>
      </c>
      <c r="B701" s="3">
        <v>40004</v>
      </c>
      <c r="C701" s="2">
        <v>40004</v>
      </c>
      <c r="D701" s="2" t="s">
        <v>678</v>
      </c>
    </row>
    <row r="702" spans="1:4" x14ac:dyDescent="0.35">
      <c r="A702" s="2" t="s">
        <v>375</v>
      </c>
      <c r="B702" s="3">
        <v>40005</v>
      </c>
      <c r="C702" s="2">
        <v>40005</v>
      </c>
      <c r="D702" s="2" t="s">
        <v>679</v>
      </c>
    </row>
    <row r="703" spans="1:4" x14ac:dyDescent="0.35">
      <c r="A703" s="2" t="s">
        <v>375</v>
      </c>
      <c r="B703" s="3">
        <v>40009</v>
      </c>
      <c r="C703" s="2">
        <v>40009</v>
      </c>
      <c r="D703" s="2" t="s">
        <v>680</v>
      </c>
    </row>
    <row r="704" spans="1:4" x14ac:dyDescent="0.35">
      <c r="A704" s="2" t="s">
        <v>375</v>
      </c>
      <c r="B704" s="3">
        <v>50000</v>
      </c>
      <c r="C704" s="2">
        <v>50000</v>
      </c>
      <c r="D704" s="2" t="s">
        <v>681</v>
      </c>
    </row>
    <row r="705" spans="1:4" x14ac:dyDescent="0.35">
      <c r="A705" s="2" t="s">
        <v>375</v>
      </c>
      <c r="B705" s="3">
        <v>60000</v>
      </c>
      <c r="C705" s="2">
        <v>60000</v>
      </c>
      <c r="D705" s="2" t="s">
        <v>682</v>
      </c>
    </row>
    <row r="706" spans="1:4" x14ac:dyDescent="0.35">
      <c r="A706" s="2" t="s">
        <v>375</v>
      </c>
      <c r="B706" s="3">
        <v>60001</v>
      </c>
      <c r="C706" s="2">
        <v>60001</v>
      </c>
      <c r="D706" s="2" t="s">
        <v>683</v>
      </c>
    </row>
    <row r="707" spans="1:4" x14ac:dyDescent="0.35">
      <c r="A707" s="2" t="s">
        <v>375</v>
      </c>
      <c r="B707" s="3">
        <v>60002</v>
      </c>
      <c r="C707" s="2">
        <v>60002</v>
      </c>
      <c r="D707" s="2" t="s">
        <v>684</v>
      </c>
    </row>
    <row r="708" spans="1:4" x14ac:dyDescent="0.35">
      <c r="A708" s="2" t="s">
        <v>375</v>
      </c>
      <c r="B708" s="3">
        <v>60003</v>
      </c>
      <c r="C708" s="2">
        <v>60003</v>
      </c>
      <c r="D708" s="2" t="s">
        <v>685</v>
      </c>
    </row>
    <row r="709" spans="1:4" x14ac:dyDescent="0.35">
      <c r="A709" s="2" t="s">
        <v>375</v>
      </c>
      <c r="B709" s="3">
        <v>70000</v>
      </c>
      <c r="C709" s="2">
        <v>70000</v>
      </c>
      <c r="D709" s="2" t="s">
        <v>686</v>
      </c>
    </row>
    <row r="710" spans="1:4" x14ac:dyDescent="0.35">
      <c r="A710" s="2" t="s">
        <v>375</v>
      </c>
      <c r="B710" s="3" t="s">
        <v>687</v>
      </c>
      <c r="C710" s="2" t="s">
        <v>687</v>
      </c>
      <c r="D710" s="2" t="s">
        <v>688</v>
      </c>
    </row>
    <row r="711" spans="1:4" x14ac:dyDescent="0.35">
      <c r="A711" s="2" t="s">
        <v>375</v>
      </c>
      <c r="B711" s="3" t="s">
        <v>689</v>
      </c>
      <c r="C711" s="2" t="s">
        <v>689</v>
      </c>
      <c r="D711" s="2" t="s">
        <v>688</v>
      </c>
    </row>
    <row r="712" spans="1:4" x14ac:dyDescent="0.35">
      <c r="A712" s="2" t="s">
        <v>375</v>
      </c>
      <c r="B712" s="3" t="s">
        <v>690</v>
      </c>
      <c r="C712" s="2" t="s">
        <v>690</v>
      </c>
      <c r="D712" s="2" t="s">
        <v>691</v>
      </c>
    </row>
    <row r="713" spans="1:4" x14ac:dyDescent="0.35">
      <c r="A713" s="2" t="s">
        <v>375</v>
      </c>
      <c r="B713" s="3" t="s">
        <v>692</v>
      </c>
      <c r="C713" s="2" t="s">
        <v>692</v>
      </c>
      <c r="D713" s="2" t="s">
        <v>693</v>
      </c>
    </row>
    <row r="714" spans="1:4" x14ac:dyDescent="0.35">
      <c r="A714" s="2" t="s">
        <v>375</v>
      </c>
      <c r="B714" s="3" t="s">
        <v>694</v>
      </c>
      <c r="C714" s="2" t="s">
        <v>694</v>
      </c>
      <c r="D714" s="2" t="s">
        <v>695</v>
      </c>
    </row>
    <row r="715" spans="1:4" x14ac:dyDescent="0.35">
      <c r="A715" s="2" t="s">
        <v>375</v>
      </c>
      <c r="B715" s="3" t="s">
        <v>696</v>
      </c>
      <c r="C715" s="2" t="s">
        <v>696</v>
      </c>
      <c r="D715" s="2" t="s">
        <v>695</v>
      </c>
    </row>
    <row r="716" spans="1:4" x14ac:dyDescent="0.35">
      <c r="A716" s="2" t="s">
        <v>375</v>
      </c>
      <c r="B716" s="3" t="s">
        <v>697</v>
      </c>
      <c r="C716" s="2" t="s">
        <v>697</v>
      </c>
      <c r="D716" s="2" t="s">
        <v>698</v>
      </c>
    </row>
    <row r="717" spans="1:4" x14ac:dyDescent="0.35">
      <c r="A717" s="2" t="s">
        <v>375</v>
      </c>
      <c r="B717" s="3" t="s">
        <v>699</v>
      </c>
      <c r="C717" s="2" t="s">
        <v>699</v>
      </c>
      <c r="D717" s="2" t="s">
        <v>700</v>
      </c>
    </row>
    <row r="718" spans="1:4" x14ac:dyDescent="0.35">
      <c r="A718" s="2" t="s">
        <v>375</v>
      </c>
      <c r="B718" s="3" t="s">
        <v>701</v>
      </c>
      <c r="C718" s="2" t="s">
        <v>701</v>
      </c>
      <c r="D718" s="2" t="s">
        <v>700</v>
      </c>
    </row>
    <row r="719" spans="1:4" x14ac:dyDescent="0.35">
      <c r="A719" s="2" t="s">
        <v>375</v>
      </c>
      <c r="B719" s="3" t="s">
        <v>702</v>
      </c>
      <c r="C719" s="2" t="s">
        <v>702</v>
      </c>
      <c r="D719" s="2" t="s">
        <v>703</v>
      </c>
    </row>
    <row r="720" spans="1:4" x14ac:dyDescent="0.35">
      <c r="A720" s="2" t="s">
        <v>375</v>
      </c>
      <c r="B720" s="3" t="s">
        <v>704</v>
      </c>
      <c r="C720" s="2" t="s">
        <v>704</v>
      </c>
      <c r="D720" s="2" t="s">
        <v>705</v>
      </c>
    </row>
    <row r="721" spans="1:4" x14ac:dyDescent="0.35">
      <c r="A721" s="2" t="s">
        <v>375</v>
      </c>
      <c r="B721" s="3" t="s">
        <v>706</v>
      </c>
      <c r="C721" s="2" t="s">
        <v>706</v>
      </c>
      <c r="D721" s="2" t="s">
        <v>705</v>
      </c>
    </row>
    <row r="722" spans="1:4" x14ac:dyDescent="0.35">
      <c r="A722" s="2" t="s">
        <v>375</v>
      </c>
      <c r="B722" s="3" t="s">
        <v>707</v>
      </c>
      <c r="C722" s="2" t="s">
        <v>707</v>
      </c>
      <c r="D722" s="2" t="s">
        <v>708</v>
      </c>
    </row>
    <row r="723" spans="1:4" x14ac:dyDescent="0.35">
      <c r="A723" s="2" t="s">
        <v>375</v>
      </c>
      <c r="B723" s="3" t="s">
        <v>709</v>
      </c>
      <c r="C723" s="2" t="s">
        <v>709</v>
      </c>
      <c r="D723" s="2" t="s">
        <v>708</v>
      </c>
    </row>
    <row r="724" spans="1:4" x14ac:dyDescent="0.35">
      <c r="A724" s="2" t="s">
        <v>375</v>
      </c>
      <c r="B724" s="3" t="s">
        <v>710</v>
      </c>
      <c r="C724" s="2" t="s">
        <v>710</v>
      </c>
      <c r="D724" s="2" t="s">
        <v>711</v>
      </c>
    </row>
    <row r="725" spans="1:4" x14ac:dyDescent="0.35">
      <c r="A725" s="2" t="s">
        <v>375</v>
      </c>
      <c r="B725" s="3" t="s">
        <v>712</v>
      </c>
      <c r="C725" s="2" t="s">
        <v>712</v>
      </c>
      <c r="D725" s="2" t="s">
        <v>713</v>
      </c>
    </row>
    <row r="726" spans="1:4" x14ac:dyDescent="0.35">
      <c r="A726" s="2" t="s">
        <v>375</v>
      </c>
      <c r="B726" s="3" t="s">
        <v>714</v>
      </c>
      <c r="C726" s="2" t="s">
        <v>714</v>
      </c>
      <c r="D726" s="2" t="s">
        <v>715</v>
      </c>
    </row>
    <row r="727" spans="1:4" x14ac:dyDescent="0.35">
      <c r="A727" s="2" t="s">
        <v>375</v>
      </c>
      <c r="B727" s="3" t="s">
        <v>716</v>
      </c>
      <c r="C727" s="2" t="s">
        <v>716</v>
      </c>
      <c r="D727" s="2" t="s">
        <v>717</v>
      </c>
    </row>
    <row r="728" spans="1:4" x14ac:dyDescent="0.35">
      <c r="A728" s="2" t="s">
        <v>375</v>
      </c>
      <c r="B728" s="3" t="s">
        <v>718</v>
      </c>
      <c r="C728" s="2" t="s">
        <v>718</v>
      </c>
      <c r="D728" s="2" t="s">
        <v>719</v>
      </c>
    </row>
    <row r="729" spans="1:4" x14ac:dyDescent="0.35">
      <c r="A729" s="2" t="s">
        <v>375</v>
      </c>
      <c r="B729" s="3" t="s">
        <v>720</v>
      </c>
      <c r="C729" s="2" t="s">
        <v>720</v>
      </c>
      <c r="D729" s="2" t="s">
        <v>721</v>
      </c>
    </row>
    <row r="730" spans="1:4" x14ac:dyDescent="0.35">
      <c r="A730" s="2" t="s">
        <v>375</v>
      </c>
      <c r="B730" s="3" t="s">
        <v>722</v>
      </c>
      <c r="C730" s="2" t="s">
        <v>722</v>
      </c>
      <c r="D730" s="2" t="s">
        <v>723</v>
      </c>
    </row>
    <row r="731" spans="1:4" x14ac:dyDescent="0.35">
      <c r="A731" s="2" t="s">
        <v>375</v>
      </c>
      <c r="B731" s="3" t="s">
        <v>724</v>
      </c>
      <c r="C731" s="2" t="s">
        <v>724</v>
      </c>
      <c r="D731" s="2" t="s">
        <v>725</v>
      </c>
    </row>
    <row r="732" spans="1:4" x14ac:dyDescent="0.35">
      <c r="A732" s="2" t="s">
        <v>375</v>
      </c>
      <c r="B732" s="3" t="s">
        <v>726</v>
      </c>
      <c r="C732" s="2" t="s">
        <v>726</v>
      </c>
      <c r="D732" s="2" t="s">
        <v>727</v>
      </c>
    </row>
    <row r="733" spans="1:4" x14ac:dyDescent="0.35">
      <c r="A733" s="2" t="s">
        <v>375</v>
      </c>
      <c r="B733" s="3" t="s">
        <v>728</v>
      </c>
      <c r="C733" s="2" t="s">
        <v>728</v>
      </c>
      <c r="D733" s="2" t="s">
        <v>729</v>
      </c>
    </row>
    <row r="734" spans="1:4" x14ac:dyDescent="0.35">
      <c r="A734" s="2" t="s">
        <v>375</v>
      </c>
      <c r="B734" s="3" t="s">
        <v>730</v>
      </c>
      <c r="C734" s="2" t="s">
        <v>730</v>
      </c>
      <c r="D734" s="2" t="s">
        <v>731</v>
      </c>
    </row>
    <row r="735" spans="1:4" x14ac:dyDescent="0.35">
      <c r="A735" s="2" t="s">
        <v>375</v>
      </c>
      <c r="B735" s="3" t="s">
        <v>732</v>
      </c>
      <c r="C735" s="2" t="s">
        <v>732</v>
      </c>
      <c r="D735" s="2" t="s">
        <v>733</v>
      </c>
    </row>
    <row r="736" spans="1:4" x14ac:dyDescent="0.35">
      <c r="A736" s="2" t="s">
        <v>375</v>
      </c>
      <c r="B736" s="3" t="s">
        <v>734</v>
      </c>
      <c r="C736" s="2" t="s">
        <v>734</v>
      </c>
      <c r="D736" s="2" t="s">
        <v>735</v>
      </c>
    </row>
    <row r="737" spans="1:4" x14ac:dyDescent="0.35">
      <c r="A737" s="2" t="s">
        <v>375</v>
      </c>
      <c r="B737" s="3" t="s">
        <v>736</v>
      </c>
      <c r="C737" s="2" t="s">
        <v>736</v>
      </c>
      <c r="D737" s="2" t="s">
        <v>737</v>
      </c>
    </row>
    <row r="738" spans="1:4" x14ac:dyDescent="0.35">
      <c r="A738" s="2" t="s">
        <v>375</v>
      </c>
      <c r="B738" s="3" t="s">
        <v>738</v>
      </c>
      <c r="C738" s="2" t="s">
        <v>738</v>
      </c>
      <c r="D738" s="2" t="s">
        <v>739</v>
      </c>
    </row>
    <row r="739" spans="1:4" x14ac:dyDescent="0.35">
      <c r="A739" s="2" t="s">
        <v>375</v>
      </c>
      <c r="B739" s="3" t="s">
        <v>740</v>
      </c>
      <c r="C739" s="2" t="s">
        <v>740</v>
      </c>
      <c r="D739" s="2" t="s">
        <v>741</v>
      </c>
    </row>
    <row r="740" spans="1:4" x14ac:dyDescent="0.35">
      <c r="A740" s="2" t="s">
        <v>375</v>
      </c>
      <c r="B740" s="3" t="s">
        <v>742</v>
      </c>
      <c r="C740" s="2" t="s">
        <v>742</v>
      </c>
      <c r="D740" s="2" t="s">
        <v>743</v>
      </c>
    </row>
    <row r="741" spans="1:4" x14ac:dyDescent="0.35">
      <c r="A741" s="2" t="s">
        <v>375</v>
      </c>
      <c r="B741" s="3" t="s">
        <v>744</v>
      </c>
      <c r="C741" s="2" t="s">
        <v>744</v>
      </c>
      <c r="D741" s="2" t="s">
        <v>743</v>
      </c>
    </row>
    <row r="742" spans="1:4" x14ac:dyDescent="0.35">
      <c r="A742" s="2" t="s">
        <v>375</v>
      </c>
      <c r="B742" s="3" t="s">
        <v>745</v>
      </c>
      <c r="C742" s="2" t="s">
        <v>745</v>
      </c>
      <c r="D742" s="2" t="s">
        <v>746</v>
      </c>
    </row>
    <row r="743" spans="1:4" x14ac:dyDescent="0.35">
      <c r="A743" s="2" t="s">
        <v>375</v>
      </c>
      <c r="B743" s="3" t="s">
        <v>747</v>
      </c>
      <c r="C743" s="2" t="s">
        <v>747</v>
      </c>
      <c r="D743" s="2" t="s">
        <v>748</v>
      </c>
    </row>
    <row r="744" spans="1:4" x14ac:dyDescent="0.35">
      <c r="A744" s="2" t="s">
        <v>375</v>
      </c>
      <c r="B744" s="3" t="s">
        <v>749</v>
      </c>
      <c r="C744" s="2" t="s">
        <v>749</v>
      </c>
      <c r="D744" s="2" t="s">
        <v>750</v>
      </c>
    </row>
    <row r="745" spans="1:4" x14ac:dyDescent="0.35">
      <c r="A745" s="2" t="s">
        <v>375</v>
      </c>
      <c r="B745" s="3" t="s">
        <v>751</v>
      </c>
      <c r="C745" s="2" t="s">
        <v>751</v>
      </c>
      <c r="D745" s="2" t="s">
        <v>750</v>
      </c>
    </row>
    <row r="746" spans="1:4" x14ac:dyDescent="0.35">
      <c r="A746" s="2" t="s">
        <v>375</v>
      </c>
      <c r="B746" s="3" t="s">
        <v>752</v>
      </c>
      <c r="C746" s="2" t="s">
        <v>752</v>
      </c>
      <c r="D746" s="2" t="s">
        <v>753</v>
      </c>
    </row>
    <row r="747" spans="1:4" x14ac:dyDescent="0.35">
      <c r="A747" s="2" t="s">
        <v>375</v>
      </c>
      <c r="B747" s="3" t="s">
        <v>754</v>
      </c>
      <c r="C747" s="2" t="s">
        <v>754</v>
      </c>
      <c r="D747" s="2" t="s">
        <v>755</v>
      </c>
    </row>
    <row r="748" spans="1:4" x14ac:dyDescent="0.35">
      <c r="A748" s="2" t="s">
        <v>375</v>
      </c>
      <c r="B748" s="3" t="s">
        <v>756</v>
      </c>
      <c r="C748" s="2" t="s">
        <v>756</v>
      </c>
      <c r="D748" s="2" t="s">
        <v>757</v>
      </c>
    </row>
    <row r="749" spans="1:4" x14ac:dyDescent="0.35">
      <c r="A749" s="2" t="s">
        <v>375</v>
      </c>
      <c r="B749" s="3" t="s">
        <v>758</v>
      </c>
      <c r="C749" s="2" t="s">
        <v>758</v>
      </c>
      <c r="D749" s="2" t="s">
        <v>759</v>
      </c>
    </row>
    <row r="750" spans="1:4" x14ac:dyDescent="0.35">
      <c r="A750" s="2" t="s">
        <v>375</v>
      </c>
      <c r="B750" s="3" t="s">
        <v>760</v>
      </c>
      <c r="C750" s="2" t="s">
        <v>760</v>
      </c>
      <c r="D750" s="2" t="s">
        <v>761</v>
      </c>
    </row>
    <row r="751" spans="1:4" x14ac:dyDescent="0.35">
      <c r="A751" s="2" t="s">
        <v>375</v>
      </c>
      <c r="B751" s="3" t="s">
        <v>762</v>
      </c>
      <c r="C751" s="2" t="s">
        <v>762</v>
      </c>
      <c r="D751" s="2" t="s">
        <v>763</v>
      </c>
    </row>
    <row r="752" spans="1:4" x14ac:dyDescent="0.35">
      <c r="A752" s="2" t="s">
        <v>375</v>
      </c>
      <c r="B752" s="3" t="s">
        <v>764</v>
      </c>
      <c r="C752" s="2" t="s">
        <v>764</v>
      </c>
      <c r="D752" s="2" t="s">
        <v>765</v>
      </c>
    </row>
    <row r="753" spans="1:4" x14ac:dyDescent="0.35">
      <c r="A753" s="2" t="s">
        <v>375</v>
      </c>
      <c r="B753" s="3" t="s">
        <v>766</v>
      </c>
      <c r="C753" s="2" t="s">
        <v>766</v>
      </c>
      <c r="D753" s="2" t="s">
        <v>767</v>
      </c>
    </row>
    <row r="754" spans="1:4" x14ac:dyDescent="0.35">
      <c r="A754" s="2" t="s">
        <v>375</v>
      </c>
      <c r="B754" s="3" t="s">
        <v>768</v>
      </c>
      <c r="C754" s="2" t="s">
        <v>768</v>
      </c>
      <c r="D754" s="2" t="s">
        <v>769</v>
      </c>
    </row>
    <row r="755" spans="1:4" x14ac:dyDescent="0.35">
      <c r="A755" s="2" t="s">
        <v>375</v>
      </c>
      <c r="B755" s="3" t="s">
        <v>770</v>
      </c>
      <c r="C755" s="2" t="s">
        <v>770</v>
      </c>
      <c r="D755" s="2" t="s">
        <v>771</v>
      </c>
    </row>
    <row r="756" spans="1:4" x14ac:dyDescent="0.35">
      <c r="A756" s="2" t="s">
        <v>375</v>
      </c>
      <c r="B756" s="3" t="s">
        <v>772</v>
      </c>
      <c r="C756" s="2" t="s">
        <v>772</v>
      </c>
      <c r="D756" s="2" t="s">
        <v>771</v>
      </c>
    </row>
    <row r="757" spans="1:4" x14ac:dyDescent="0.35">
      <c r="A757" s="2" t="s">
        <v>375</v>
      </c>
      <c r="B757" s="3" t="s">
        <v>773</v>
      </c>
      <c r="C757" s="2" t="s">
        <v>773</v>
      </c>
      <c r="D757" s="2" t="s">
        <v>774</v>
      </c>
    </row>
    <row r="758" spans="1:4" x14ac:dyDescent="0.35">
      <c r="A758" s="2" t="s">
        <v>375</v>
      </c>
      <c r="B758" s="3" t="s">
        <v>775</v>
      </c>
      <c r="C758" s="2" t="s">
        <v>775</v>
      </c>
      <c r="D758" s="2" t="s">
        <v>771</v>
      </c>
    </row>
    <row r="759" spans="1:4" x14ac:dyDescent="0.35">
      <c r="A759" s="2" t="s">
        <v>375</v>
      </c>
      <c r="B759" s="3" t="s">
        <v>776</v>
      </c>
      <c r="C759" s="2" t="s">
        <v>776</v>
      </c>
      <c r="D759" s="2" t="s">
        <v>777</v>
      </c>
    </row>
    <row r="760" spans="1:4" x14ac:dyDescent="0.35">
      <c r="A760" s="2" t="s">
        <v>375</v>
      </c>
      <c r="B760" s="3" t="s">
        <v>778</v>
      </c>
      <c r="C760" s="2" t="s">
        <v>778</v>
      </c>
      <c r="D760" s="2" t="s">
        <v>774</v>
      </c>
    </row>
    <row r="761" spans="1:4" x14ac:dyDescent="0.35">
      <c r="A761" s="2" t="s">
        <v>375</v>
      </c>
      <c r="B761" s="3" t="s">
        <v>779</v>
      </c>
      <c r="C761" s="2" t="s">
        <v>779</v>
      </c>
      <c r="D761" s="2" t="s">
        <v>771</v>
      </c>
    </row>
    <row r="762" spans="1:4" x14ac:dyDescent="0.35">
      <c r="A762" s="2" t="s">
        <v>375</v>
      </c>
      <c r="B762" s="3" t="s">
        <v>780</v>
      </c>
      <c r="C762" s="2" t="s">
        <v>780</v>
      </c>
      <c r="D762" s="2" t="s">
        <v>777</v>
      </c>
    </row>
    <row r="763" spans="1:4" x14ac:dyDescent="0.35">
      <c r="A763" s="2" t="s">
        <v>375</v>
      </c>
      <c r="B763" s="3" t="s">
        <v>781</v>
      </c>
      <c r="C763" s="2" t="s">
        <v>781</v>
      </c>
      <c r="D763" s="2" t="s">
        <v>782</v>
      </c>
    </row>
    <row r="764" spans="1:4" x14ac:dyDescent="0.35">
      <c r="A764" s="2" t="s">
        <v>375</v>
      </c>
      <c r="B764" s="3" t="s">
        <v>783</v>
      </c>
      <c r="C764" s="2" t="s">
        <v>783</v>
      </c>
      <c r="D764" s="2" t="s">
        <v>784</v>
      </c>
    </row>
    <row r="765" spans="1:4" x14ac:dyDescent="0.35">
      <c r="A765" s="2" t="s">
        <v>375</v>
      </c>
      <c r="B765" s="3" t="s">
        <v>979</v>
      </c>
      <c r="C765" s="2" t="s">
        <v>979</v>
      </c>
      <c r="D765" s="2" t="s">
        <v>786</v>
      </c>
    </row>
    <row r="766" spans="1:4" x14ac:dyDescent="0.35">
      <c r="A766" s="2" t="s">
        <v>375</v>
      </c>
      <c r="B766" s="3" t="s">
        <v>787</v>
      </c>
      <c r="C766" s="2" t="s">
        <v>787</v>
      </c>
      <c r="D766" s="2" t="s">
        <v>788</v>
      </c>
    </row>
    <row r="767" spans="1:4" x14ac:dyDescent="0.35">
      <c r="A767" s="2" t="s">
        <v>375</v>
      </c>
      <c r="B767" s="3" t="s">
        <v>789</v>
      </c>
      <c r="C767" s="2" t="s">
        <v>789</v>
      </c>
      <c r="D767" s="2" t="s">
        <v>788</v>
      </c>
    </row>
    <row r="768" spans="1:4" x14ac:dyDescent="0.35">
      <c r="A768" s="2" t="s">
        <v>375</v>
      </c>
      <c r="B768" s="3" t="s">
        <v>790</v>
      </c>
      <c r="C768" s="2" t="s">
        <v>790</v>
      </c>
      <c r="D768" s="2" t="s">
        <v>788</v>
      </c>
    </row>
    <row r="769" spans="1:4" x14ac:dyDescent="0.35">
      <c r="A769" s="2" t="s">
        <v>375</v>
      </c>
      <c r="B769" s="3" t="s">
        <v>791</v>
      </c>
      <c r="C769" s="2" t="s">
        <v>791</v>
      </c>
      <c r="D769" s="2" t="s">
        <v>788</v>
      </c>
    </row>
    <row r="770" spans="1:4" x14ac:dyDescent="0.35">
      <c r="A770" s="2" t="s">
        <v>375</v>
      </c>
      <c r="B770" s="3" t="s">
        <v>792</v>
      </c>
      <c r="C770" s="2" t="s">
        <v>792</v>
      </c>
      <c r="D770" s="2" t="s">
        <v>788</v>
      </c>
    </row>
    <row r="771" spans="1:4" x14ac:dyDescent="0.35">
      <c r="A771" s="2" t="s">
        <v>375</v>
      </c>
      <c r="B771" s="3" t="s">
        <v>793</v>
      </c>
      <c r="C771" s="2" t="s">
        <v>793</v>
      </c>
      <c r="D771" s="2" t="s">
        <v>788</v>
      </c>
    </row>
    <row r="772" spans="1:4" x14ac:dyDescent="0.35">
      <c r="A772" s="2" t="s">
        <v>375</v>
      </c>
      <c r="B772" s="3" t="s">
        <v>794</v>
      </c>
      <c r="C772" s="2" t="s">
        <v>794</v>
      </c>
      <c r="D772" s="2" t="s">
        <v>795</v>
      </c>
    </row>
    <row r="773" spans="1:4" x14ac:dyDescent="0.35">
      <c r="A773" s="2" t="s">
        <v>375</v>
      </c>
      <c r="B773" s="3" t="s">
        <v>796</v>
      </c>
      <c r="C773" s="2" t="s">
        <v>796</v>
      </c>
      <c r="D773" s="2" t="s">
        <v>788</v>
      </c>
    </row>
    <row r="774" spans="1:4" x14ac:dyDescent="0.35">
      <c r="A774" s="2" t="s">
        <v>375</v>
      </c>
      <c r="B774" s="3" t="s">
        <v>797</v>
      </c>
      <c r="C774" s="2" t="s">
        <v>797</v>
      </c>
      <c r="D774" s="2" t="s">
        <v>798</v>
      </c>
    </row>
    <row r="775" spans="1:4" x14ac:dyDescent="0.35">
      <c r="A775" s="2" t="s">
        <v>375</v>
      </c>
      <c r="B775" s="3" t="s">
        <v>799</v>
      </c>
      <c r="C775" s="2" t="s">
        <v>799</v>
      </c>
      <c r="D775" s="2" t="s">
        <v>800</v>
      </c>
    </row>
    <row r="776" spans="1:4" x14ac:dyDescent="0.35">
      <c r="A776" s="2" t="s">
        <v>375</v>
      </c>
      <c r="B776" s="3" t="s">
        <v>801</v>
      </c>
      <c r="C776" s="2" t="s">
        <v>801</v>
      </c>
      <c r="D776" s="2" t="s">
        <v>802</v>
      </c>
    </row>
    <row r="777" spans="1:4" x14ac:dyDescent="0.35">
      <c r="A777" s="2" t="s">
        <v>375</v>
      </c>
      <c r="B777" s="3" t="s">
        <v>803</v>
      </c>
      <c r="C777" s="2" t="s">
        <v>803</v>
      </c>
      <c r="D777" s="2" t="s">
        <v>795</v>
      </c>
    </row>
    <row r="778" spans="1:4" x14ac:dyDescent="0.35">
      <c r="A778" s="2" t="s">
        <v>375</v>
      </c>
      <c r="B778" s="3" t="s">
        <v>804</v>
      </c>
      <c r="C778" s="2" t="s">
        <v>804</v>
      </c>
      <c r="D778" s="2" t="s">
        <v>788</v>
      </c>
    </row>
    <row r="779" spans="1:4" x14ac:dyDescent="0.35">
      <c r="A779" s="2" t="s">
        <v>375</v>
      </c>
      <c r="B779" s="3" t="s">
        <v>805</v>
      </c>
      <c r="C779" s="2" t="s">
        <v>805</v>
      </c>
      <c r="D779" s="2" t="s">
        <v>798</v>
      </c>
    </row>
    <row r="780" spans="1:4" x14ac:dyDescent="0.35">
      <c r="A780" s="2" t="s">
        <v>375</v>
      </c>
      <c r="B780" s="3" t="s">
        <v>806</v>
      </c>
      <c r="C780" s="2" t="s">
        <v>806</v>
      </c>
      <c r="D780" s="2" t="s">
        <v>800</v>
      </c>
    </row>
    <row r="781" spans="1:4" x14ac:dyDescent="0.35">
      <c r="A781" s="2" t="s">
        <v>375</v>
      </c>
      <c r="B781" s="3" t="s">
        <v>807</v>
      </c>
      <c r="C781" s="2" t="s">
        <v>807</v>
      </c>
      <c r="D781" s="2" t="s">
        <v>802</v>
      </c>
    </row>
    <row r="782" spans="1:4" x14ac:dyDescent="0.35">
      <c r="A782" s="2" t="s">
        <v>375</v>
      </c>
      <c r="B782" s="3" t="s">
        <v>808</v>
      </c>
      <c r="C782" s="2" t="s">
        <v>808</v>
      </c>
      <c r="D782" s="2" t="s">
        <v>798</v>
      </c>
    </row>
    <row r="783" spans="1:4" x14ac:dyDescent="0.35">
      <c r="A783" s="2" t="s">
        <v>375</v>
      </c>
      <c r="B783" s="3" t="s">
        <v>809</v>
      </c>
      <c r="C783" s="2" t="s">
        <v>809</v>
      </c>
      <c r="D783" s="2" t="s">
        <v>810</v>
      </c>
    </row>
    <row r="784" spans="1:4" x14ac:dyDescent="0.35">
      <c r="A784" s="2" t="s">
        <v>375</v>
      </c>
      <c r="B784" s="3" t="s">
        <v>811</v>
      </c>
      <c r="C784" s="2" t="s">
        <v>811</v>
      </c>
      <c r="D784" s="2" t="s">
        <v>812</v>
      </c>
    </row>
    <row r="785" spans="1:4" x14ac:dyDescent="0.35">
      <c r="A785" s="2" t="s">
        <v>375</v>
      </c>
      <c r="B785" s="3" t="s">
        <v>813</v>
      </c>
      <c r="C785" s="2" t="s">
        <v>813</v>
      </c>
      <c r="D785" s="2" t="s">
        <v>814</v>
      </c>
    </row>
    <row r="786" spans="1:4" x14ac:dyDescent="0.35">
      <c r="A786" s="2" t="s">
        <v>375</v>
      </c>
      <c r="B786" s="3" t="s">
        <v>815</v>
      </c>
      <c r="C786" s="2" t="s">
        <v>815</v>
      </c>
      <c r="D786" s="2" t="s">
        <v>816</v>
      </c>
    </row>
    <row r="787" spans="1:4" x14ac:dyDescent="0.35">
      <c r="A787" s="2" t="s">
        <v>375</v>
      </c>
      <c r="B787" s="3" t="s">
        <v>817</v>
      </c>
      <c r="C787" s="2" t="s">
        <v>817</v>
      </c>
      <c r="D787" s="2" t="s">
        <v>818</v>
      </c>
    </row>
    <row r="788" spans="1:4" x14ac:dyDescent="0.35">
      <c r="A788" s="2" t="s">
        <v>375</v>
      </c>
      <c r="B788" s="3" t="s">
        <v>819</v>
      </c>
      <c r="C788" s="2" t="s">
        <v>819</v>
      </c>
      <c r="D788" s="2" t="s">
        <v>820</v>
      </c>
    </row>
    <row r="789" spans="1:4" x14ac:dyDescent="0.35">
      <c r="A789" s="2" t="s">
        <v>375</v>
      </c>
      <c r="B789" s="3" t="s">
        <v>821</v>
      </c>
      <c r="C789" s="2" t="s">
        <v>821</v>
      </c>
      <c r="D789" s="2" t="s">
        <v>822</v>
      </c>
    </row>
    <row r="790" spans="1:4" x14ac:dyDescent="0.35">
      <c r="A790" s="2" t="s">
        <v>375</v>
      </c>
      <c r="B790" s="3" t="s">
        <v>823</v>
      </c>
      <c r="C790" s="2" t="s">
        <v>823</v>
      </c>
      <c r="D790" s="2" t="s">
        <v>822</v>
      </c>
    </row>
    <row r="791" spans="1:4" x14ac:dyDescent="0.35">
      <c r="A791" s="2" t="s">
        <v>375</v>
      </c>
      <c r="B791" s="3" t="s">
        <v>824</v>
      </c>
      <c r="C791" s="2" t="s">
        <v>824</v>
      </c>
      <c r="D791" s="2" t="s">
        <v>825</v>
      </c>
    </row>
    <row r="792" spans="1:4" x14ac:dyDescent="0.35">
      <c r="A792" s="2" t="s">
        <v>375</v>
      </c>
      <c r="B792" s="3" t="s">
        <v>826</v>
      </c>
      <c r="C792" s="2" t="s">
        <v>826</v>
      </c>
      <c r="D792" s="2" t="s">
        <v>822</v>
      </c>
    </row>
    <row r="793" spans="1:4" x14ac:dyDescent="0.35">
      <c r="A793" s="2" t="s">
        <v>375</v>
      </c>
      <c r="B793" s="3" t="s">
        <v>827</v>
      </c>
      <c r="C793" s="2" t="s">
        <v>827</v>
      </c>
      <c r="D793" s="2" t="s">
        <v>828</v>
      </c>
    </row>
    <row r="794" spans="1:4" x14ac:dyDescent="0.35">
      <c r="A794" s="2" t="s">
        <v>375</v>
      </c>
      <c r="B794" s="3" t="s">
        <v>829</v>
      </c>
      <c r="C794" s="2" t="s">
        <v>829</v>
      </c>
      <c r="D794" s="2" t="s">
        <v>825</v>
      </c>
    </row>
    <row r="795" spans="1:4" x14ac:dyDescent="0.35">
      <c r="A795" s="2" t="s">
        <v>375</v>
      </c>
      <c r="B795" s="3" t="s">
        <v>830</v>
      </c>
      <c r="C795" s="2" t="s">
        <v>830</v>
      </c>
      <c r="D795" s="2" t="s">
        <v>822</v>
      </c>
    </row>
    <row r="796" spans="1:4" x14ac:dyDescent="0.35">
      <c r="A796" s="2" t="s">
        <v>375</v>
      </c>
      <c r="B796" s="3" t="s">
        <v>831</v>
      </c>
      <c r="C796" s="2" t="s">
        <v>831</v>
      </c>
      <c r="D796" s="2" t="s">
        <v>828</v>
      </c>
    </row>
    <row r="797" spans="1:4" x14ac:dyDescent="0.35">
      <c r="A797" s="2" t="s">
        <v>375</v>
      </c>
      <c r="B797" s="3" t="s">
        <v>832</v>
      </c>
      <c r="C797" s="2" t="s">
        <v>832</v>
      </c>
      <c r="D797" s="2" t="s">
        <v>833</v>
      </c>
    </row>
    <row r="798" spans="1:4" x14ac:dyDescent="0.35">
      <c r="A798" s="2" t="s">
        <v>375</v>
      </c>
      <c r="B798" s="3" t="s">
        <v>834</v>
      </c>
      <c r="C798" s="2" t="s">
        <v>834</v>
      </c>
      <c r="D798" s="2" t="s">
        <v>833</v>
      </c>
    </row>
    <row r="799" spans="1:4" x14ac:dyDescent="0.35">
      <c r="A799" s="2" t="s">
        <v>375</v>
      </c>
      <c r="B799" s="3" t="s">
        <v>835</v>
      </c>
      <c r="C799" s="2" t="s">
        <v>835</v>
      </c>
      <c r="D799" s="2" t="s">
        <v>822</v>
      </c>
    </row>
    <row r="800" spans="1:4" x14ac:dyDescent="0.35">
      <c r="A800" s="2" t="s">
        <v>375</v>
      </c>
      <c r="B800" s="3" t="s">
        <v>836</v>
      </c>
      <c r="C800" s="2" t="s">
        <v>836</v>
      </c>
      <c r="D800" s="2" t="s">
        <v>837</v>
      </c>
    </row>
    <row r="801" spans="1:4" x14ac:dyDescent="0.35">
      <c r="A801" s="2" t="s">
        <v>375</v>
      </c>
      <c r="B801" s="3" t="s">
        <v>838</v>
      </c>
      <c r="C801" s="2" t="s">
        <v>838</v>
      </c>
      <c r="D801" s="2" t="s">
        <v>839</v>
      </c>
    </row>
    <row r="802" spans="1:4" x14ac:dyDescent="0.35">
      <c r="A802" s="2" t="s">
        <v>375</v>
      </c>
      <c r="B802" s="3" t="s">
        <v>840</v>
      </c>
      <c r="C802" s="2" t="s">
        <v>840</v>
      </c>
      <c r="D802" s="2" t="s">
        <v>841</v>
      </c>
    </row>
    <row r="803" spans="1:4" x14ac:dyDescent="0.35">
      <c r="A803" s="2" t="s">
        <v>375</v>
      </c>
      <c r="B803" s="3" t="s">
        <v>842</v>
      </c>
      <c r="C803" s="2" t="s">
        <v>842</v>
      </c>
      <c r="D803" s="2" t="s">
        <v>841</v>
      </c>
    </row>
    <row r="804" spans="1:4" x14ac:dyDescent="0.35">
      <c r="A804" s="2" t="s">
        <v>375</v>
      </c>
      <c r="B804" s="3" t="s">
        <v>843</v>
      </c>
      <c r="C804" s="2" t="s">
        <v>843</v>
      </c>
      <c r="D804" s="2" t="s">
        <v>841</v>
      </c>
    </row>
    <row r="805" spans="1:4" x14ac:dyDescent="0.35">
      <c r="A805" s="2" t="s">
        <v>375</v>
      </c>
      <c r="B805" s="3" t="s">
        <v>844</v>
      </c>
      <c r="C805" s="2" t="s">
        <v>844</v>
      </c>
      <c r="D805" s="2" t="s">
        <v>841</v>
      </c>
    </row>
    <row r="806" spans="1:4" x14ac:dyDescent="0.35">
      <c r="A806" s="2" t="s">
        <v>375</v>
      </c>
      <c r="B806" s="3" t="s">
        <v>845</v>
      </c>
      <c r="C806" s="2" t="s">
        <v>845</v>
      </c>
      <c r="D806" s="2" t="s">
        <v>841</v>
      </c>
    </row>
    <row r="807" spans="1:4" x14ac:dyDescent="0.35">
      <c r="A807" s="2" t="s">
        <v>375</v>
      </c>
      <c r="B807" s="3" t="s">
        <v>846</v>
      </c>
      <c r="C807" s="2" t="s">
        <v>846</v>
      </c>
      <c r="D807" s="2" t="s">
        <v>847</v>
      </c>
    </row>
    <row r="808" spans="1:4" x14ac:dyDescent="0.35">
      <c r="A808" s="2" t="s">
        <v>375</v>
      </c>
      <c r="B808" s="3" t="s">
        <v>848</v>
      </c>
      <c r="C808" s="2" t="s">
        <v>848</v>
      </c>
      <c r="D808" s="2" t="s">
        <v>841</v>
      </c>
    </row>
    <row r="809" spans="1:4" x14ac:dyDescent="0.35">
      <c r="A809" s="2" t="s">
        <v>375</v>
      </c>
      <c r="B809" s="3" t="s">
        <v>849</v>
      </c>
      <c r="C809" s="2" t="s">
        <v>849</v>
      </c>
      <c r="D809" s="2" t="s">
        <v>847</v>
      </c>
    </row>
    <row r="810" spans="1:4" x14ac:dyDescent="0.35">
      <c r="A810" s="2" t="s">
        <v>375</v>
      </c>
      <c r="B810" s="3" t="s">
        <v>850</v>
      </c>
      <c r="C810" s="2" t="s">
        <v>850</v>
      </c>
      <c r="D810" s="2" t="s">
        <v>841</v>
      </c>
    </row>
    <row r="811" spans="1:4" x14ac:dyDescent="0.35">
      <c r="A811" s="2" t="s">
        <v>375</v>
      </c>
      <c r="B811" s="3" t="s">
        <v>851</v>
      </c>
      <c r="C811" s="2" t="s">
        <v>851</v>
      </c>
      <c r="D811" s="2" t="s">
        <v>852</v>
      </c>
    </row>
    <row r="812" spans="1:4" x14ac:dyDescent="0.35">
      <c r="A812" s="2" t="s">
        <v>375</v>
      </c>
      <c r="B812" s="3" t="s">
        <v>853</v>
      </c>
      <c r="C812" s="2" t="s">
        <v>853</v>
      </c>
      <c r="D812" s="2" t="s">
        <v>854</v>
      </c>
    </row>
    <row r="813" spans="1:4" x14ac:dyDescent="0.35">
      <c r="A813" s="2" t="s">
        <v>375</v>
      </c>
      <c r="B813" s="3" t="s">
        <v>855</v>
      </c>
      <c r="C813" s="2" t="s">
        <v>855</v>
      </c>
      <c r="D813" s="2" t="s">
        <v>856</v>
      </c>
    </row>
    <row r="814" spans="1:4" x14ac:dyDescent="0.35">
      <c r="A814" s="2" t="s">
        <v>375</v>
      </c>
      <c r="B814" s="3" t="s">
        <v>857</v>
      </c>
      <c r="C814" s="2" t="s">
        <v>857</v>
      </c>
      <c r="D814" s="2" t="s">
        <v>841</v>
      </c>
    </row>
    <row r="815" spans="1:4" x14ac:dyDescent="0.35">
      <c r="A815" s="2" t="s">
        <v>375</v>
      </c>
      <c r="B815" s="3" t="s">
        <v>858</v>
      </c>
      <c r="C815" s="2" t="s">
        <v>858</v>
      </c>
      <c r="D815" s="2" t="s">
        <v>856</v>
      </c>
    </row>
    <row r="816" spans="1:4" x14ac:dyDescent="0.35">
      <c r="A816" s="2" t="s">
        <v>375</v>
      </c>
      <c r="B816" s="3" t="s">
        <v>859</v>
      </c>
      <c r="C816" s="2" t="s">
        <v>859</v>
      </c>
      <c r="D816" s="2" t="s">
        <v>852</v>
      </c>
    </row>
    <row r="817" spans="1:4" x14ac:dyDescent="0.35">
      <c r="A817" s="2" t="s">
        <v>375</v>
      </c>
      <c r="B817" s="3" t="s">
        <v>860</v>
      </c>
      <c r="C817" s="2" t="s">
        <v>860</v>
      </c>
      <c r="D817" s="2" t="s">
        <v>852</v>
      </c>
    </row>
    <row r="818" spans="1:4" x14ac:dyDescent="0.35">
      <c r="A818" s="2" t="s">
        <v>375</v>
      </c>
      <c r="B818" s="3" t="s">
        <v>861</v>
      </c>
      <c r="C818" s="2" t="s">
        <v>861</v>
      </c>
      <c r="D818" s="2" t="s">
        <v>854</v>
      </c>
    </row>
    <row r="819" spans="1:4" x14ac:dyDescent="0.35">
      <c r="A819" s="2" t="s">
        <v>375</v>
      </c>
      <c r="B819" s="3" t="s">
        <v>862</v>
      </c>
      <c r="C819" s="2" t="s">
        <v>862</v>
      </c>
      <c r="D819" s="2" t="s">
        <v>856</v>
      </c>
    </row>
    <row r="820" spans="1:4" x14ac:dyDescent="0.35">
      <c r="A820" s="2" t="s">
        <v>375</v>
      </c>
      <c r="B820" s="3" t="s">
        <v>863</v>
      </c>
      <c r="C820" s="2" t="s">
        <v>863</v>
      </c>
      <c r="D820" s="2" t="s">
        <v>841</v>
      </c>
    </row>
    <row r="821" spans="1:4" x14ac:dyDescent="0.35">
      <c r="A821" s="2" t="s">
        <v>375</v>
      </c>
      <c r="B821" s="3" t="s">
        <v>864</v>
      </c>
      <c r="C821" s="2" t="s">
        <v>864</v>
      </c>
      <c r="D821" s="2" t="s">
        <v>856</v>
      </c>
    </row>
    <row r="822" spans="1:4" x14ac:dyDescent="0.35">
      <c r="A822" s="2" t="s">
        <v>375</v>
      </c>
      <c r="B822" s="3" t="s">
        <v>865</v>
      </c>
      <c r="C822" s="2" t="s">
        <v>865</v>
      </c>
      <c r="D822" s="2" t="s">
        <v>841</v>
      </c>
    </row>
    <row r="823" spans="1:4" x14ac:dyDescent="0.35">
      <c r="A823" s="2" t="s">
        <v>375</v>
      </c>
      <c r="B823" s="3" t="s">
        <v>866</v>
      </c>
      <c r="C823" s="2" t="s">
        <v>866</v>
      </c>
      <c r="D823" s="2" t="s">
        <v>867</v>
      </c>
    </row>
    <row r="824" spans="1:4" x14ac:dyDescent="0.35">
      <c r="A824" s="2" t="s">
        <v>375</v>
      </c>
      <c r="B824" s="3" t="s">
        <v>868</v>
      </c>
      <c r="C824" s="2" t="s">
        <v>868</v>
      </c>
      <c r="D824" s="2" t="s">
        <v>867</v>
      </c>
    </row>
    <row r="825" spans="1:4" x14ac:dyDescent="0.35">
      <c r="A825" s="2" t="s">
        <v>375</v>
      </c>
      <c r="B825" s="3" t="s">
        <v>869</v>
      </c>
      <c r="C825" s="2" t="s">
        <v>869</v>
      </c>
      <c r="D825" s="2" t="s">
        <v>870</v>
      </c>
    </row>
    <row r="826" spans="1:4" x14ac:dyDescent="0.35">
      <c r="A826" s="2" t="s">
        <v>375</v>
      </c>
      <c r="B826" s="3" t="s">
        <v>871</v>
      </c>
      <c r="C826" s="2" t="s">
        <v>871</v>
      </c>
      <c r="D826" s="2" t="s">
        <v>872</v>
      </c>
    </row>
    <row r="827" spans="1:4" x14ac:dyDescent="0.35">
      <c r="A827" s="2" t="s">
        <v>375</v>
      </c>
      <c r="B827" s="3" t="s">
        <v>873</v>
      </c>
      <c r="C827" s="2" t="s">
        <v>873</v>
      </c>
      <c r="D827" s="2" t="s">
        <v>874</v>
      </c>
    </row>
    <row r="828" spans="1:4" x14ac:dyDescent="0.35">
      <c r="A828" s="2" t="s">
        <v>375</v>
      </c>
      <c r="B828" s="3" t="s">
        <v>875</v>
      </c>
      <c r="C828" s="2" t="s">
        <v>875</v>
      </c>
      <c r="D828" s="2" t="s">
        <v>876</v>
      </c>
    </row>
    <row r="829" spans="1:4" x14ac:dyDescent="0.35">
      <c r="A829" s="2" t="s">
        <v>375</v>
      </c>
      <c r="B829" s="3" t="s">
        <v>877</v>
      </c>
      <c r="C829" s="2" t="s">
        <v>877</v>
      </c>
      <c r="D829" s="2" t="s">
        <v>878</v>
      </c>
    </row>
    <row r="830" spans="1:4" x14ac:dyDescent="0.35">
      <c r="A830" s="2" t="s">
        <v>375</v>
      </c>
      <c r="B830" s="3" t="s">
        <v>879</v>
      </c>
      <c r="C830" s="2" t="s">
        <v>879</v>
      </c>
      <c r="D830" s="2" t="s">
        <v>880</v>
      </c>
    </row>
    <row r="831" spans="1:4" x14ac:dyDescent="0.35">
      <c r="A831" s="2" t="s">
        <v>375</v>
      </c>
      <c r="B831" s="3" t="s">
        <v>881</v>
      </c>
      <c r="C831" s="2" t="s">
        <v>881</v>
      </c>
      <c r="D831" s="2" t="s">
        <v>880</v>
      </c>
    </row>
    <row r="832" spans="1:4" x14ac:dyDescent="0.35">
      <c r="A832" s="2" t="s">
        <v>375</v>
      </c>
      <c r="B832" s="3" t="s">
        <v>882</v>
      </c>
      <c r="C832" s="2" t="s">
        <v>882</v>
      </c>
      <c r="D832" s="2" t="s">
        <v>883</v>
      </c>
    </row>
    <row r="833" spans="1:4" x14ac:dyDescent="0.35">
      <c r="A833" s="2" t="s">
        <v>375</v>
      </c>
      <c r="B833" s="3" t="s">
        <v>884</v>
      </c>
      <c r="C833" s="2" t="s">
        <v>884</v>
      </c>
      <c r="D833" s="2" t="s">
        <v>885</v>
      </c>
    </row>
    <row r="834" spans="1:4" x14ac:dyDescent="0.35">
      <c r="A834" s="2" t="s">
        <v>375</v>
      </c>
      <c r="B834" s="3" t="s">
        <v>886</v>
      </c>
      <c r="C834" s="2" t="s">
        <v>886</v>
      </c>
      <c r="D834" s="2" t="s">
        <v>887</v>
      </c>
    </row>
    <row r="835" spans="1:4" x14ac:dyDescent="0.35">
      <c r="A835" s="2" t="s">
        <v>375</v>
      </c>
      <c r="B835" s="3" t="s">
        <v>888</v>
      </c>
      <c r="C835" s="2" t="s">
        <v>888</v>
      </c>
      <c r="D835" s="2" t="s">
        <v>883</v>
      </c>
    </row>
    <row r="836" spans="1:4" x14ac:dyDescent="0.35">
      <c r="A836" s="2" t="s">
        <v>375</v>
      </c>
      <c r="B836" s="3" t="s">
        <v>889</v>
      </c>
      <c r="C836" s="2" t="s">
        <v>889</v>
      </c>
      <c r="D836" s="2" t="s">
        <v>885</v>
      </c>
    </row>
    <row r="837" spans="1:4" x14ac:dyDescent="0.35">
      <c r="A837" s="2" t="s">
        <v>375</v>
      </c>
      <c r="B837" s="3" t="s">
        <v>890</v>
      </c>
      <c r="C837" s="2" t="s">
        <v>890</v>
      </c>
      <c r="D837" s="2" t="s">
        <v>887</v>
      </c>
    </row>
    <row r="838" spans="1:4" x14ac:dyDescent="0.35">
      <c r="A838" s="2" t="s">
        <v>375</v>
      </c>
      <c r="B838" s="3" t="s">
        <v>891</v>
      </c>
      <c r="C838" s="2" t="s">
        <v>891</v>
      </c>
      <c r="D838" s="2" t="s">
        <v>885</v>
      </c>
    </row>
    <row r="839" spans="1:4" x14ac:dyDescent="0.35">
      <c r="A839" s="2" t="s">
        <v>375</v>
      </c>
      <c r="B839" s="3" t="s">
        <v>892</v>
      </c>
      <c r="C839" s="2" t="s">
        <v>892</v>
      </c>
      <c r="D839" s="2" t="s">
        <v>885</v>
      </c>
    </row>
    <row r="840" spans="1:4" x14ac:dyDescent="0.35">
      <c r="A840" s="2" t="s">
        <v>375</v>
      </c>
      <c r="B840" s="3" t="s">
        <v>893</v>
      </c>
      <c r="C840" s="2" t="s">
        <v>893</v>
      </c>
      <c r="D840" s="2" t="s">
        <v>885</v>
      </c>
    </row>
    <row r="841" spans="1:4" x14ac:dyDescent="0.35">
      <c r="A841" s="2" t="s">
        <v>375</v>
      </c>
      <c r="B841" s="3" t="s">
        <v>894</v>
      </c>
      <c r="C841" s="2" t="s">
        <v>894</v>
      </c>
      <c r="D841" s="2" t="s">
        <v>880</v>
      </c>
    </row>
    <row r="842" spans="1:4" x14ac:dyDescent="0.35">
      <c r="A842" s="2" t="s">
        <v>375</v>
      </c>
      <c r="B842" s="3" t="s">
        <v>895</v>
      </c>
      <c r="C842" s="2" t="s">
        <v>895</v>
      </c>
      <c r="D842" s="2" t="s">
        <v>896</v>
      </c>
    </row>
    <row r="843" spans="1:4" x14ac:dyDescent="0.35">
      <c r="A843" s="2" t="s">
        <v>375</v>
      </c>
      <c r="B843" s="3" t="s">
        <v>897</v>
      </c>
      <c r="C843" s="2" t="s">
        <v>897</v>
      </c>
      <c r="D843" s="2" t="s">
        <v>898</v>
      </c>
    </row>
    <row r="844" spans="1:4" x14ac:dyDescent="0.35">
      <c r="A844" s="2" t="s">
        <v>375</v>
      </c>
      <c r="B844" s="3" t="s">
        <v>899</v>
      </c>
      <c r="C844" s="2" t="s">
        <v>899</v>
      </c>
      <c r="D844" s="2" t="s">
        <v>900</v>
      </c>
    </row>
    <row r="845" spans="1:4" x14ac:dyDescent="0.35">
      <c r="A845" s="2" t="s">
        <v>375</v>
      </c>
      <c r="B845" s="3" t="s">
        <v>901</v>
      </c>
      <c r="C845" s="2" t="s">
        <v>901</v>
      </c>
      <c r="D845" s="2" t="s">
        <v>900</v>
      </c>
    </row>
    <row r="846" spans="1:4" x14ac:dyDescent="0.35">
      <c r="A846" s="2" t="s">
        <v>375</v>
      </c>
      <c r="B846" s="3" t="s">
        <v>902</v>
      </c>
      <c r="C846" s="2" t="s">
        <v>902</v>
      </c>
      <c r="D846" s="2" t="s">
        <v>900</v>
      </c>
    </row>
    <row r="847" spans="1:4" x14ac:dyDescent="0.35">
      <c r="A847" s="2" t="s">
        <v>375</v>
      </c>
      <c r="B847" s="3" t="s">
        <v>903</v>
      </c>
      <c r="C847" s="2" t="s">
        <v>903</v>
      </c>
      <c r="D847" s="2" t="s">
        <v>900</v>
      </c>
    </row>
    <row r="848" spans="1:4" x14ac:dyDescent="0.35">
      <c r="A848" s="2" t="s">
        <v>375</v>
      </c>
      <c r="B848" s="3" t="s">
        <v>904</v>
      </c>
      <c r="C848" s="2" t="s">
        <v>904</v>
      </c>
      <c r="D848" s="2" t="s">
        <v>900</v>
      </c>
    </row>
    <row r="849" spans="1:4" x14ac:dyDescent="0.35">
      <c r="A849" s="2" t="s">
        <v>375</v>
      </c>
      <c r="B849" s="3" t="s">
        <v>905</v>
      </c>
      <c r="C849" s="2" t="s">
        <v>905</v>
      </c>
      <c r="D849" s="2" t="s">
        <v>906</v>
      </c>
    </row>
    <row r="850" spans="1:4" x14ac:dyDescent="0.35">
      <c r="A850" s="2" t="s">
        <v>375</v>
      </c>
      <c r="B850" s="3" t="s">
        <v>907</v>
      </c>
      <c r="C850" s="2" t="s">
        <v>907</v>
      </c>
      <c r="D850" s="2" t="s">
        <v>900</v>
      </c>
    </row>
    <row r="851" spans="1:4" x14ac:dyDescent="0.35">
      <c r="A851" s="2" t="s">
        <v>375</v>
      </c>
      <c r="B851" s="3" t="s">
        <v>908</v>
      </c>
      <c r="C851" s="2" t="s">
        <v>908</v>
      </c>
      <c r="D851" s="2" t="s">
        <v>909</v>
      </c>
    </row>
    <row r="852" spans="1:4" x14ac:dyDescent="0.35">
      <c r="A852" s="2" t="s">
        <v>375</v>
      </c>
      <c r="B852" s="3" t="s">
        <v>910</v>
      </c>
      <c r="C852" s="2" t="s">
        <v>910</v>
      </c>
      <c r="D852" s="2" t="s">
        <v>911</v>
      </c>
    </row>
    <row r="853" spans="1:4" x14ac:dyDescent="0.35">
      <c r="A853" s="2" t="s">
        <v>375</v>
      </c>
      <c r="B853" s="3" t="s">
        <v>912</v>
      </c>
      <c r="C853" s="2" t="s">
        <v>912</v>
      </c>
      <c r="D853" s="2" t="s">
        <v>906</v>
      </c>
    </row>
    <row r="854" spans="1:4" x14ac:dyDescent="0.35">
      <c r="A854" s="2" t="s">
        <v>375</v>
      </c>
      <c r="B854" s="3" t="s">
        <v>913</v>
      </c>
      <c r="C854" s="2" t="s">
        <v>913</v>
      </c>
      <c r="D854" s="2" t="s">
        <v>900</v>
      </c>
    </row>
    <row r="855" spans="1:4" x14ac:dyDescent="0.35">
      <c r="A855" s="2" t="s">
        <v>375</v>
      </c>
      <c r="B855" s="3" t="s">
        <v>914</v>
      </c>
      <c r="C855" s="2" t="s">
        <v>914</v>
      </c>
      <c r="D855" s="2" t="s">
        <v>915</v>
      </c>
    </row>
    <row r="856" spans="1:4" x14ac:dyDescent="0.35">
      <c r="A856" s="2" t="s">
        <v>375</v>
      </c>
      <c r="B856" s="3" t="s">
        <v>916</v>
      </c>
      <c r="C856" s="2" t="s">
        <v>916</v>
      </c>
      <c r="D856" s="2" t="s">
        <v>917</v>
      </c>
    </row>
    <row r="857" spans="1:4" x14ac:dyDescent="0.35">
      <c r="A857" s="2" t="s">
        <v>375</v>
      </c>
      <c r="B857" s="3" t="s">
        <v>918</v>
      </c>
      <c r="C857" s="2" t="s">
        <v>918</v>
      </c>
      <c r="D857" s="2" t="s">
        <v>919</v>
      </c>
    </row>
    <row r="858" spans="1:4" x14ac:dyDescent="0.35">
      <c r="A858" s="2" t="s">
        <v>375</v>
      </c>
      <c r="B858" s="3" t="s">
        <v>920</v>
      </c>
      <c r="C858" s="2" t="s">
        <v>920</v>
      </c>
      <c r="D858" s="2" t="s">
        <v>921</v>
      </c>
    </row>
    <row r="859" spans="1:4" x14ac:dyDescent="0.35">
      <c r="A859" s="2" t="s">
        <v>375</v>
      </c>
      <c r="B859" s="3" t="s">
        <v>922</v>
      </c>
      <c r="C859" s="2" t="s">
        <v>922</v>
      </c>
      <c r="D859" s="2" t="s">
        <v>919</v>
      </c>
    </row>
    <row r="860" spans="1:4" x14ac:dyDescent="0.35">
      <c r="A860" s="2" t="s">
        <v>375</v>
      </c>
      <c r="B860" s="3" t="s">
        <v>923</v>
      </c>
      <c r="C860" s="2" t="s">
        <v>923</v>
      </c>
      <c r="D860" s="2" t="s">
        <v>924</v>
      </c>
    </row>
    <row r="861" spans="1:4" x14ac:dyDescent="0.35">
      <c r="A861" s="2" t="s">
        <v>375</v>
      </c>
      <c r="B861" s="3" t="s">
        <v>925</v>
      </c>
      <c r="C861" s="2" t="s">
        <v>925</v>
      </c>
      <c r="D861" s="2" t="s">
        <v>900</v>
      </c>
    </row>
    <row r="862" spans="1:4" x14ac:dyDescent="0.35">
      <c r="A862" s="2" t="s">
        <v>375</v>
      </c>
      <c r="B862" s="3" t="s">
        <v>926</v>
      </c>
      <c r="C862" s="2" t="s">
        <v>926</v>
      </c>
      <c r="D862" s="2" t="s">
        <v>919</v>
      </c>
    </row>
    <row r="863" spans="1:4" x14ac:dyDescent="0.35">
      <c r="A863" s="2" t="s">
        <v>375</v>
      </c>
      <c r="B863" s="3" t="s">
        <v>927</v>
      </c>
      <c r="C863" s="2" t="s">
        <v>927</v>
      </c>
      <c r="D863" s="2" t="s">
        <v>921</v>
      </c>
    </row>
    <row r="864" spans="1:4" x14ac:dyDescent="0.35">
      <c r="A864" s="2" t="s">
        <v>375</v>
      </c>
      <c r="B864" s="3" t="s">
        <v>928</v>
      </c>
      <c r="C864" s="2" t="s">
        <v>928</v>
      </c>
      <c r="D864" s="2" t="s">
        <v>919</v>
      </c>
    </row>
    <row r="865" spans="1:4" x14ac:dyDescent="0.35">
      <c r="A865" s="2" t="s">
        <v>375</v>
      </c>
      <c r="B865" s="3" t="s">
        <v>929</v>
      </c>
      <c r="C865" s="2" t="s">
        <v>929</v>
      </c>
      <c r="D865" s="2" t="s">
        <v>924</v>
      </c>
    </row>
    <row r="866" spans="1:4" x14ac:dyDescent="0.35">
      <c r="A866" s="2" t="s">
        <v>375</v>
      </c>
      <c r="B866" s="3" t="s">
        <v>930</v>
      </c>
      <c r="C866" s="2" t="s">
        <v>930</v>
      </c>
      <c r="D866" s="2" t="s">
        <v>921</v>
      </c>
    </row>
    <row r="867" spans="1:4" x14ac:dyDescent="0.35">
      <c r="A867" s="2" t="s">
        <v>375</v>
      </c>
      <c r="B867" s="3" t="s">
        <v>931</v>
      </c>
      <c r="C867" s="2" t="s">
        <v>931</v>
      </c>
      <c r="D867" s="2" t="s">
        <v>921</v>
      </c>
    </row>
    <row r="868" spans="1:4" x14ac:dyDescent="0.35">
      <c r="A868" s="2" t="s">
        <v>375</v>
      </c>
      <c r="B868" s="3" t="s">
        <v>932</v>
      </c>
      <c r="C868" s="2" t="s">
        <v>932</v>
      </c>
      <c r="D868" s="2" t="s">
        <v>919</v>
      </c>
    </row>
    <row r="869" spans="1:4" x14ac:dyDescent="0.35">
      <c r="A869" s="2" t="s">
        <v>375</v>
      </c>
      <c r="B869" s="3" t="s">
        <v>933</v>
      </c>
      <c r="C869" s="2" t="s">
        <v>933</v>
      </c>
      <c r="D869" s="2" t="s">
        <v>921</v>
      </c>
    </row>
    <row r="870" spans="1:4" x14ac:dyDescent="0.35">
      <c r="A870" s="2" t="s">
        <v>375</v>
      </c>
      <c r="B870" s="3" t="s">
        <v>934</v>
      </c>
      <c r="C870" s="2" t="s">
        <v>934</v>
      </c>
      <c r="D870" s="2" t="s">
        <v>919</v>
      </c>
    </row>
    <row r="871" spans="1:4" x14ac:dyDescent="0.35">
      <c r="A871" s="2" t="s">
        <v>375</v>
      </c>
      <c r="B871" s="3" t="s">
        <v>935</v>
      </c>
      <c r="C871" s="2" t="s">
        <v>935</v>
      </c>
      <c r="D871" s="2" t="s">
        <v>924</v>
      </c>
    </row>
    <row r="872" spans="1:4" x14ac:dyDescent="0.35">
      <c r="A872" s="2" t="s">
        <v>375</v>
      </c>
      <c r="B872" s="3" t="s">
        <v>936</v>
      </c>
      <c r="C872" s="2" t="s">
        <v>936</v>
      </c>
      <c r="D872" s="2" t="s">
        <v>900</v>
      </c>
    </row>
    <row r="873" spans="1:4" x14ac:dyDescent="0.35">
      <c r="A873" s="2" t="s">
        <v>375</v>
      </c>
      <c r="B873" s="3" t="s">
        <v>937</v>
      </c>
      <c r="C873" s="2" t="s">
        <v>937</v>
      </c>
      <c r="D873" s="2" t="s">
        <v>919</v>
      </c>
    </row>
    <row r="874" spans="1:4" x14ac:dyDescent="0.35">
      <c r="A874" s="2" t="s">
        <v>375</v>
      </c>
      <c r="B874" s="3" t="s">
        <v>938</v>
      </c>
      <c r="C874" s="2" t="s">
        <v>938</v>
      </c>
      <c r="D874" s="2" t="s">
        <v>921</v>
      </c>
    </row>
    <row r="875" spans="1:4" x14ac:dyDescent="0.35">
      <c r="A875" s="2" t="s">
        <v>375</v>
      </c>
      <c r="B875" s="3" t="s">
        <v>939</v>
      </c>
      <c r="C875" s="2" t="s">
        <v>939</v>
      </c>
      <c r="D875" s="2" t="s">
        <v>919</v>
      </c>
    </row>
    <row r="876" spans="1:4" x14ac:dyDescent="0.35">
      <c r="A876" s="2" t="s">
        <v>375</v>
      </c>
      <c r="B876" s="3" t="s">
        <v>940</v>
      </c>
      <c r="C876" s="2" t="s">
        <v>940</v>
      </c>
      <c r="D876" s="2" t="s">
        <v>924</v>
      </c>
    </row>
    <row r="877" spans="1:4" x14ac:dyDescent="0.35">
      <c r="A877" s="2" t="s">
        <v>375</v>
      </c>
      <c r="B877" s="3" t="s">
        <v>941</v>
      </c>
      <c r="C877" s="2" t="s">
        <v>941</v>
      </c>
      <c r="D877" s="2" t="s">
        <v>900</v>
      </c>
    </row>
    <row r="878" spans="1:4" x14ac:dyDescent="0.35">
      <c r="A878" s="2" t="s">
        <v>375</v>
      </c>
      <c r="B878" s="3" t="s">
        <v>942</v>
      </c>
      <c r="C878" s="2" t="s">
        <v>942</v>
      </c>
      <c r="D878" s="2" t="s">
        <v>900</v>
      </c>
    </row>
    <row r="879" spans="1:4" x14ac:dyDescent="0.35">
      <c r="A879" s="2" t="s">
        <v>375</v>
      </c>
      <c r="B879" s="3" t="s">
        <v>943</v>
      </c>
      <c r="C879" s="2" t="s">
        <v>943</v>
      </c>
      <c r="D879" s="2" t="s">
        <v>944</v>
      </c>
    </row>
    <row r="880" spans="1:4" x14ac:dyDescent="0.35">
      <c r="A880" s="2" t="s">
        <v>375</v>
      </c>
      <c r="B880" s="3" t="s">
        <v>945</v>
      </c>
      <c r="C880" s="2" t="s">
        <v>945</v>
      </c>
      <c r="D880" s="2" t="s">
        <v>944</v>
      </c>
    </row>
    <row r="881" spans="1:4" x14ac:dyDescent="0.35">
      <c r="A881" s="2" t="s">
        <v>375</v>
      </c>
      <c r="B881" s="3" t="s">
        <v>946</v>
      </c>
      <c r="C881" s="2" t="s">
        <v>946</v>
      </c>
      <c r="D881" s="2" t="s">
        <v>944</v>
      </c>
    </row>
    <row r="882" spans="1:4" x14ac:dyDescent="0.35">
      <c r="A882" s="2" t="s">
        <v>375</v>
      </c>
      <c r="B882" s="3" t="s">
        <v>947</v>
      </c>
      <c r="C882" s="2" t="s">
        <v>947</v>
      </c>
      <c r="D882" s="2" t="s">
        <v>944</v>
      </c>
    </row>
    <row r="883" spans="1:4" x14ac:dyDescent="0.35">
      <c r="A883" s="2" t="s">
        <v>375</v>
      </c>
      <c r="B883" s="3" t="s">
        <v>948</v>
      </c>
      <c r="C883" s="2" t="s">
        <v>948</v>
      </c>
      <c r="D883" s="2" t="s">
        <v>949</v>
      </c>
    </row>
    <row r="884" spans="1:4" x14ac:dyDescent="0.35">
      <c r="A884" s="2" t="s">
        <v>375</v>
      </c>
      <c r="B884" s="3" t="s">
        <v>950</v>
      </c>
      <c r="C884" s="2" t="s">
        <v>950</v>
      </c>
      <c r="D884" s="2" t="s">
        <v>951</v>
      </c>
    </row>
    <row r="885" spans="1:4" x14ac:dyDescent="0.35">
      <c r="A885" s="2" t="s">
        <v>375</v>
      </c>
      <c r="B885" s="3" t="s">
        <v>952</v>
      </c>
      <c r="C885" s="2" t="s">
        <v>952</v>
      </c>
      <c r="D885" s="2" t="s">
        <v>953</v>
      </c>
    </row>
    <row r="886" spans="1:4" x14ac:dyDescent="0.35">
      <c r="A886" s="2" t="s">
        <v>375</v>
      </c>
      <c r="B886" s="3" t="s">
        <v>954</v>
      </c>
      <c r="C886" s="2" t="s">
        <v>954</v>
      </c>
      <c r="D886" s="2" t="s">
        <v>953</v>
      </c>
    </row>
    <row r="887" spans="1:4" x14ac:dyDescent="0.35">
      <c r="A887" s="2" t="s">
        <v>375</v>
      </c>
      <c r="B887" s="3" t="s">
        <v>955</v>
      </c>
      <c r="C887" s="2" t="s">
        <v>955</v>
      </c>
      <c r="D887" s="2" t="s">
        <v>956</v>
      </c>
    </row>
    <row r="888" spans="1:4" x14ac:dyDescent="0.35">
      <c r="A888" s="2" t="s">
        <v>375</v>
      </c>
      <c r="B888" s="3" t="s">
        <v>957</v>
      </c>
      <c r="C888" s="2" t="s">
        <v>957</v>
      </c>
      <c r="D888" s="2" t="s">
        <v>958</v>
      </c>
    </row>
    <row r="889" spans="1:4" x14ac:dyDescent="0.35">
      <c r="A889" s="2" t="s">
        <v>375</v>
      </c>
      <c r="B889" s="3" t="s">
        <v>980</v>
      </c>
      <c r="C889" s="2" t="s">
        <v>980</v>
      </c>
      <c r="D889" s="2" t="s">
        <v>959</v>
      </c>
    </row>
    <row r="890" spans="1:4" x14ac:dyDescent="0.35">
      <c r="A890" s="2" t="s">
        <v>375</v>
      </c>
      <c r="B890" s="3" t="s">
        <v>960</v>
      </c>
      <c r="C890" s="2" t="s">
        <v>960</v>
      </c>
      <c r="D890" s="2" t="s">
        <v>961</v>
      </c>
    </row>
    <row r="891" spans="1:4" x14ac:dyDescent="0.35">
      <c r="A891" s="2" t="s">
        <v>375</v>
      </c>
      <c r="B891" s="3" t="s">
        <v>962</v>
      </c>
      <c r="C891" s="2" t="s">
        <v>962</v>
      </c>
      <c r="D891" s="2" t="s">
        <v>961</v>
      </c>
    </row>
    <row r="892" spans="1:4" x14ac:dyDescent="0.35">
      <c r="A892" s="2" t="s">
        <v>375</v>
      </c>
      <c r="B892" s="3" t="s">
        <v>963</v>
      </c>
      <c r="C892" s="2" t="s">
        <v>963</v>
      </c>
      <c r="D892" s="2" t="s">
        <v>964</v>
      </c>
    </row>
    <row r="893" spans="1:4" x14ac:dyDescent="0.35">
      <c r="A893" s="2" t="s">
        <v>375</v>
      </c>
      <c r="B893" s="3" t="s">
        <v>965</v>
      </c>
      <c r="C893" s="2" t="s">
        <v>965</v>
      </c>
      <c r="D893" s="2" t="s">
        <v>966</v>
      </c>
    </row>
    <row r="894" spans="1:4" x14ac:dyDescent="0.35">
      <c r="A894" s="2" t="s">
        <v>375</v>
      </c>
      <c r="B894" s="3" t="s">
        <v>967</v>
      </c>
      <c r="C894" s="2" t="s">
        <v>967</v>
      </c>
      <c r="D894" s="2" t="s">
        <v>968</v>
      </c>
    </row>
    <row r="895" spans="1:4" x14ac:dyDescent="0.35">
      <c r="A895" s="2" t="s">
        <v>375</v>
      </c>
      <c r="B895" s="3" t="s">
        <v>969</v>
      </c>
      <c r="C895" s="2" t="s">
        <v>969</v>
      </c>
      <c r="D895" s="2" t="s">
        <v>970</v>
      </c>
    </row>
    <row r="896" spans="1:4" x14ac:dyDescent="0.35">
      <c r="A896" s="2" t="s">
        <v>375</v>
      </c>
      <c r="B896" s="3" t="s">
        <v>971</v>
      </c>
      <c r="C896" s="2" t="s">
        <v>971</v>
      </c>
      <c r="D896" s="2" t="s">
        <v>972</v>
      </c>
    </row>
    <row r="897" spans="1:4" x14ac:dyDescent="0.35">
      <c r="A897" s="2" t="s">
        <v>375</v>
      </c>
      <c r="B897" s="3" t="s">
        <v>973</v>
      </c>
      <c r="C897" s="2" t="s">
        <v>973</v>
      </c>
      <c r="D897" s="2" t="s">
        <v>966</v>
      </c>
    </row>
    <row r="898" spans="1:4" x14ac:dyDescent="0.35">
      <c r="A898" s="2" t="s">
        <v>375</v>
      </c>
      <c r="B898" s="3" t="s">
        <v>974</v>
      </c>
      <c r="C898" s="2" t="s">
        <v>974</v>
      </c>
      <c r="D898" s="2" t="s">
        <v>968</v>
      </c>
    </row>
    <row r="899" spans="1:4" x14ac:dyDescent="0.35">
      <c r="A899" s="2" t="s">
        <v>375</v>
      </c>
      <c r="B899" s="3" t="s">
        <v>975</v>
      </c>
      <c r="C899" s="2" t="s">
        <v>975</v>
      </c>
      <c r="D899" s="2" t="s">
        <v>970</v>
      </c>
    </row>
    <row r="900" spans="1:4" x14ac:dyDescent="0.35">
      <c r="A900" s="2" t="s">
        <v>375</v>
      </c>
      <c r="B900" s="3" t="s">
        <v>976</v>
      </c>
      <c r="C900" s="2" t="s">
        <v>976</v>
      </c>
      <c r="D900" s="2" t="s">
        <v>966</v>
      </c>
    </row>
    <row r="901" spans="1:4" x14ac:dyDescent="0.35">
      <c r="A901" s="2" t="s">
        <v>375</v>
      </c>
      <c r="B901" s="3" t="s">
        <v>977</v>
      </c>
      <c r="C901" s="2" t="s">
        <v>977</v>
      </c>
      <c r="D901" s="2" t="s">
        <v>978</v>
      </c>
    </row>
  </sheetData>
  <autoFilter ref="A1:D346" xr:uid="{95BE9368-7997-46E0-859A-02E4E9D69CF2}"/>
  <pageMargins left="0.7" right="0.7" top="0.75" bottom="0.75" header="0.3" footer="0.3"/>
  <headerFooter>
    <oddFooter>&amp;L_x000D_&amp;1#&amp;"Aptos"&amp;14&amp;K000000 Información Interna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C16CA-0626-44A5-853C-1323E1292C4E}">
  <sheetPr codeName="Sheet5">
    <tabColor theme="5"/>
  </sheetPr>
  <dimension ref="A1:C1381"/>
  <sheetViews>
    <sheetView topLeftCell="A472" workbookViewId="0">
      <selection activeCell="H1045" sqref="H1045"/>
    </sheetView>
  </sheetViews>
  <sheetFormatPr baseColWidth="10" defaultColWidth="11.453125" defaultRowHeight="14.5" x14ac:dyDescent="0.35"/>
  <cols>
    <col min="2" max="2" width="35" bestFit="1" customWidth="1"/>
    <col min="3" max="3" width="28.1796875" bestFit="1" customWidth="1"/>
  </cols>
  <sheetData>
    <row r="1" spans="1:3" x14ac:dyDescent="0.35">
      <c r="A1" s="1" t="s">
        <v>652</v>
      </c>
      <c r="B1" s="1" t="s">
        <v>981</v>
      </c>
      <c r="C1" s="1" t="s">
        <v>982</v>
      </c>
    </row>
    <row r="2" spans="1:3" x14ac:dyDescent="0.35">
      <c r="A2" s="2" t="s">
        <v>3</v>
      </c>
      <c r="B2" s="2">
        <v>1101</v>
      </c>
      <c r="C2" s="2" t="s">
        <v>983</v>
      </c>
    </row>
    <row r="3" spans="1:3" x14ac:dyDescent="0.35">
      <c r="A3" s="2" t="s">
        <v>3</v>
      </c>
      <c r="B3" s="2">
        <v>1107</v>
      </c>
      <c r="C3" s="2" t="s">
        <v>984</v>
      </c>
    </row>
    <row r="4" spans="1:3" x14ac:dyDescent="0.35">
      <c r="A4" s="2" t="s">
        <v>3</v>
      </c>
      <c r="B4" s="2">
        <v>1401</v>
      </c>
      <c r="C4" s="2" t="s">
        <v>985</v>
      </c>
    </row>
    <row r="5" spans="1:3" x14ac:dyDescent="0.35">
      <c r="A5" s="2" t="s">
        <v>3</v>
      </c>
      <c r="B5" s="2">
        <v>1402</v>
      </c>
      <c r="C5" s="2" t="s">
        <v>986</v>
      </c>
    </row>
    <row r="6" spans="1:3" x14ac:dyDescent="0.35">
      <c r="A6" s="2" t="s">
        <v>3</v>
      </c>
      <c r="B6" s="2">
        <v>1403</v>
      </c>
      <c r="C6" s="2" t="s">
        <v>987</v>
      </c>
    </row>
    <row r="7" spans="1:3" x14ac:dyDescent="0.35">
      <c r="A7" s="2" t="s">
        <v>3</v>
      </c>
      <c r="B7" s="2">
        <v>1404</v>
      </c>
      <c r="C7" s="2" t="s">
        <v>988</v>
      </c>
    </row>
    <row r="8" spans="1:3" x14ac:dyDescent="0.35">
      <c r="A8" s="2" t="s">
        <v>3</v>
      </c>
      <c r="B8" s="2">
        <v>1405</v>
      </c>
      <c r="C8" s="2" t="s">
        <v>989</v>
      </c>
    </row>
    <row r="9" spans="1:3" x14ac:dyDescent="0.35">
      <c r="A9" s="2" t="s">
        <v>3</v>
      </c>
      <c r="B9" s="2">
        <v>2101</v>
      </c>
      <c r="C9" s="2" t="s">
        <v>990</v>
      </c>
    </row>
    <row r="10" spans="1:3" x14ac:dyDescent="0.35">
      <c r="A10" s="2" t="s">
        <v>3</v>
      </c>
      <c r="B10" s="2">
        <v>2102</v>
      </c>
      <c r="C10" s="2" t="s">
        <v>991</v>
      </c>
    </row>
    <row r="11" spans="1:3" x14ac:dyDescent="0.35">
      <c r="A11" s="2" t="s">
        <v>3</v>
      </c>
      <c r="B11" s="2">
        <v>2103</v>
      </c>
      <c r="C11" s="2" t="s">
        <v>992</v>
      </c>
    </row>
    <row r="12" spans="1:3" x14ac:dyDescent="0.35">
      <c r="A12" s="2" t="s">
        <v>3</v>
      </c>
      <c r="B12" s="2">
        <v>2104</v>
      </c>
      <c r="C12" s="2" t="s">
        <v>993</v>
      </c>
    </row>
    <row r="13" spans="1:3" x14ac:dyDescent="0.35">
      <c r="A13" s="2" t="s">
        <v>3</v>
      </c>
      <c r="B13" s="2">
        <v>2201</v>
      </c>
      <c r="C13" s="2" t="s">
        <v>994</v>
      </c>
    </row>
    <row r="14" spans="1:3" x14ac:dyDescent="0.35">
      <c r="A14" s="2" t="s">
        <v>3</v>
      </c>
      <c r="B14" s="2">
        <v>2202</v>
      </c>
      <c r="C14" s="2" t="s">
        <v>995</v>
      </c>
    </row>
    <row r="15" spans="1:3" x14ac:dyDescent="0.35">
      <c r="A15" s="2" t="s">
        <v>3</v>
      </c>
      <c r="B15" s="2">
        <v>2203</v>
      </c>
      <c r="C15" s="2" t="s">
        <v>996</v>
      </c>
    </row>
    <row r="16" spans="1:3" x14ac:dyDescent="0.35">
      <c r="A16" s="2" t="s">
        <v>3</v>
      </c>
      <c r="B16" s="2">
        <v>2301</v>
      </c>
      <c r="C16" s="2" t="s">
        <v>997</v>
      </c>
    </row>
    <row r="17" spans="1:3" x14ac:dyDescent="0.35">
      <c r="A17" s="2" t="s">
        <v>3</v>
      </c>
      <c r="B17" s="2">
        <v>2302</v>
      </c>
      <c r="C17" s="2" t="s">
        <v>998</v>
      </c>
    </row>
    <row r="18" spans="1:3" x14ac:dyDescent="0.35">
      <c r="A18" s="2" t="s">
        <v>3</v>
      </c>
      <c r="B18" s="2">
        <v>3101</v>
      </c>
      <c r="C18" s="2" t="s">
        <v>999</v>
      </c>
    </row>
    <row r="19" spans="1:3" x14ac:dyDescent="0.35">
      <c r="A19" s="2" t="s">
        <v>3</v>
      </c>
      <c r="B19" s="2">
        <v>3102</v>
      </c>
      <c r="C19" s="2" t="s">
        <v>1000</v>
      </c>
    </row>
    <row r="20" spans="1:3" x14ac:dyDescent="0.35">
      <c r="A20" s="2" t="s">
        <v>3</v>
      </c>
      <c r="B20" s="2">
        <v>3103</v>
      </c>
      <c r="C20" s="2" t="s">
        <v>1001</v>
      </c>
    </row>
    <row r="21" spans="1:3" x14ac:dyDescent="0.35">
      <c r="A21" s="2" t="s">
        <v>3</v>
      </c>
      <c r="B21" s="2">
        <v>3201</v>
      </c>
      <c r="C21" s="2" t="s">
        <v>1002</v>
      </c>
    </row>
    <row r="22" spans="1:3" x14ac:dyDescent="0.35">
      <c r="A22" s="2" t="s">
        <v>3</v>
      </c>
      <c r="B22" s="2">
        <v>3202</v>
      </c>
      <c r="C22" s="2" t="s">
        <v>1003</v>
      </c>
    </row>
    <row r="23" spans="1:3" x14ac:dyDescent="0.35">
      <c r="A23" s="2" t="s">
        <v>3</v>
      </c>
      <c r="B23" s="2">
        <v>3301</v>
      </c>
      <c r="C23" s="2" t="s">
        <v>1004</v>
      </c>
    </row>
    <row r="24" spans="1:3" x14ac:dyDescent="0.35">
      <c r="A24" s="2" t="s">
        <v>3</v>
      </c>
      <c r="B24" s="2">
        <v>3302</v>
      </c>
      <c r="C24" s="2" t="s">
        <v>1005</v>
      </c>
    </row>
    <row r="25" spans="1:3" x14ac:dyDescent="0.35">
      <c r="A25" s="2" t="s">
        <v>3</v>
      </c>
      <c r="B25" s="2">
        <v>3303</v>
      </c>
      <c r="C25" s="2" t="s">
        <v>1006</v>
      </c>
    </row>
    <row r="26" spans="1:3" x14ac:dyDescent="0.35">
      <c r="A26" s="2" t="s">
        <v>3</v>
      </c>
      <c r="B26" s="2">
        <v>3304</v>
      </c>
      <c r="C26" s="2" t="s">
        <v>1007</v>
      </c>
    </row>
    <row r="27" spans="1:3" x14ac:dyDescent="0.35">
      <c r="A27" s="2" t="s">
        <v>3</v>
      </c>
      <c r="B27" s="2">
        <v>4101</v>
      </c>
      <c r="C27" s="2" t="s">
        <v>1008</v>
      </c>
    </row>
    <row r="28" spans="1:3" x14ac:dyDescent="0.35">
      <c r="A28" s="2" t="s">
        <v>3</v>
      </c>
      <c r="B28" s="2">
        <v>4102</v>
      </c>
      <c r="C28" s="2" t="s">
        <v>1009</v>
      </c>
    </row>
    <row r="29" spans="1:3" x14ac:dyDescent="0.35">
      <c r="A29" s="2" t="s">
        <v>3</v>
      </c>
      <c r="B29" s="2">
        <v>4103</v>
      </c>
      <c r="C29" s="2" t="s">
        <v>1010</v>
      </c>
    </row>
    <row r="30" spans="1:3" x14ac:dyDescent="0.35">
      <c r="A30" s="2" t="s">
        <v>3</v>
      </c>
      <c r="B30" s="2">
        <v>4104</v>
      </c>
      <c r="C30" s="2" t="s">
        <v>1011</v>
      </c>
    </row>
    <row r="31" spans="1:3" x14ac:dyDescent="0.35">
      <c r="A31" s="2" t="s">
        <v>3</v>
      </c>
      <c r="B31" s="2">
        <v>4105</v>
      </c>
      <c r="C31" s="2" t="s">
        <v>1012</v>
      </c>
    </row>
    <row r="32" spans="1:3" x14ac:dyDescent="0.35">
      <c r="A32" s="2" t="s">
        <v>3</v>
      </c>
      <c r="B32" s="2">
        <v>4106</v>
      </c>
      <c r="C32" s="2" t="s">
        <v>1013</v>
      </c>
    </row>
    <row r="33" spans="1:3" x14ac:dyDescent="0.35">
      <c r="A33" s="2" t="s">
        <v>3</v>
      </c>
      <c r="B33" s="2">
        <v>4201</v>
      </c>
      <c r="C33" s="2" t="s">
        <v>1014</v>
      </c>
    </row>
    <row r="34" spans="1:3" x14ac:dyDescent="0.35">
      <c r="A34" s="2" t="s">
        <v>3</v>
      </c>
      <c r="B34" s="2">
        <v>4202</v>
      </c>
      <c r="C34" s="2" t="s">
        <v>1015</v>
      </c>
    </row>
    <row r="35" spans="1:3" x14ac:dyDescent="0.35">
      <c r="A35" s="2" t="s">
        <v>3</v>
      </c>
      <c r="B35" s="2">
        <v>4203</v>
      </c>
      <c r="C35" s="2" t="s">
        <v>1016</v>
      </c>
    </row>
    <row r="36" spans="1:3" x14ac:dyDescent="0.35">
      <c r="A36" s="2" t="s">
        <v>3</v>
      </c>
      <c r="B36" s="2">
        <v>4204</v>
      </c>
      <c r="C36" s="2" t="s">
        <v>1017</v>
      </c>
    </row>
    <row r="37" spans="1:3" x14ac:dyDescent="0.35">
      <c r="A37" s="2" t="s">
        <v>3</v>
      </c>
      <c r="B37" s="2">
        <v>4301</v>
      </c>
      <c r="C37" s="2" t="s">
        <v>1018</v>
      </c>
    </row>
    <row r="38" spans="1:3" x14ac:dyDescent="0.35">
      <c r="A38" s="2" t="s">
        <v>3</v>
      </c>
      <c r="B38" s="2">
        <v>4302</v>
      </c>
      <c r="C38" s="2" t="s">
        <v>1019</v>
      </c>
    </row>
    <row r="39" spans="1:3" x14ac:dyDescent="0.35">
      <c r="A39" s="2" t="s">
        <v>3</v>
      </c>
      <c r="B39" s="2">
        <v>4303</v>
      </c>
      <c r="C39" s="2" t="s">
        <v>1020</v>
      </c>
    </row>
    <row r="40" spans="1:3" x14ac:dyDescent="0.35">
      <c r="A40" s="2" t="s">
        <v>3</v>
      </c>
      <c r="B40" s="2">
        <v>4304</v>
      </c>
      <c r="C40" s="2" t="s">
        <v>1021</v>
      </c>
    </row>
    <row r="41" spans="1:3" x14ac:dyDescent="0.35">
      <c r="A41" s="2" t="s">
        <v>3</v>
      </c>
      <c r="B41" s="2">
        <v>4305</v>
      </c>
      <c r="C41" s="2" t="s">
        <v>1022</v>
      </c>
    </row>
    <row r="42" spans="1:3" x14ac:dyDescent="0.35">
      <c r="A42" s="2" t="s">
        <v>3</v>
      </c>
      <c r="B42" s="2">
        <v>5101</v>
      </c>
      <c r="C42" s="2" t="s">
        <v>1023</v>
      </c>
    </row>
    <row r="43" spans="1:3" x14ac:dyDescent="0.35">
      <c r="A43" s="2" t="s">
        <v>3</v>
      </c>
      <c r="B43" s="2">
        <v>5102</v>
      </c>
      <c r="C43" s="2" t="s">
        <v>1024</v>
      </c>
    </row>
    <row r="44" spans="1:3" x14ac:dyDescent="0.35">
      <c r="A44" s="2" t="s">
        <v>3</v>
      </c>
      <c r="B44" s="2">
        <v>5103</v>
      </c>
      <c r="C44" s="2" t="s">
        <v>1025</v>
      </c>
    </row>
    <row r="45" spans="1:3" x14ac:dyDescent="0.35">
      <c r="A45" s="2" t="s">
        <v>3</v>
      </c>
      <c r="B45" s="2">
        <v>5104</v>
      </c>
      <c r="C45" s="2" t="s">
        <v>1026</v>
      </c>
    </row>
    <row r="46" spans="1:3" x14ac:dyDescent="0.35">
      <c r="A46" s="2" t="s">
        <v>3</v>
      </c>
      <c r="B46" s="2">
        <v>5105</v>
      </c>
      <c r="C46" s="2" t="s">
        <v>1027</v>
      </c>
    </row>
    <row r="47" spans="1:3" x14ac:dyDescent="0.35">
      <c r="A47" s="2" t="s">
        <v>3</v>
      </c>
      <c r="B47" s="2">
        <v>5107</v>
      </c>
      <c r="C47" s="2" t="s">
        <v>1028</v>
      </c>
    </row>
    <row r="48" spans="1:3" x14ac:dyDescent="0.35">
      <c r="A48" s="2" t="s">
        <v>3</v>
      </c>
      <c r="B48" s="2">
        <v>5109</v>
      </c>
      <c r="C48" s="2" t="s">
        <v>1029</v>
      </c>
    </row>
    <row r="49" spans="1:3" x14ac:dyDescent="0.35">
      <c r="A49" s="2" t="s">
        <v>3</v>
      </c>
      <c r="B49" s="2">
        <v>5201</v>
      </c>
      <c r="C49" s="2" t="s">
        <v>1030</v>
      </c>
    </row>
    <row r="50" spans="1:3" x14ac:dyDescent="0.35">
      <c r="A50" s="2" t="s">
        <v>3</v>
      </c>
      <c r="B50" s="2">
        <v>5301</v>
      </c>
      <c r="C50" s="2" t="s">
        <v>1031</v>
      </c>
    </row>
    <row r="51" spans="1:3" x14ac:dyDescent="0.35">
      <c r="A51" s="2" t="s">
        <v>3</v>
      </c>
      <c r="B51" s="2">
        <v>5302</v>
      </c>
      <c r="C51" s="2" t="s">
        <v>1032</v>
      </c>
    </row>
    <row r="52" spans="1:3" x14ac:dyDescent="0.35">
      <c r="A52" s="2" t="s">
        <v>3</v>
      </c>
      <c r="B52" s="2">
        <v>5303</v>
      </c>
      <c r="C52" s="2" t="s">
        <v>1033</v>
      </c>
    </row>
    <row r="53" spans="1:3" x14ac:dyDescent="0.35">
      <c r="A53" s="2" t="s">
        <v>3</v>
      </c>
      <c r="B53" s="2">
        <v>5304</v>
      </c>
      <c r="C53" s="2" t="s">
        <v>1034</v>
      </c>
    </row>
    <row r="54" spans="1:3" x14ac:dyDescent="0.35">
      <c r="A54" s="2" t="s">
        <v>3</v>
      </c>
      <c r="B54" s="2">
        <v>5401</v>
      </c>
      <c r="C54" s="2" t="s">
        <v>1035</v>
      </c>
    </row>
    <row r="55" spans="1:3" x14ac:dyDescent="0.35">
      <c r="A55" s="2" t="s">
        <v>3</v>
      </c>
      <c r="B55" s="2">
        <v>5402</v>
      </c>
      <c r="C55" s="2" t="s">
        <v>1036</v>
      </c>
    </row>
    <row r="56" spans="1:3" x14ac:dyDescent="0.35">
      <c r="A56" s="2" t="s">
        <v>3</v>
      </c>
      <c r="B56" s="2">
        <v>5403</v>
      </c>
      <c r="C56" s="2" t="s">
        <v>1037</v>
      </c>
    </row>
    <row r="57" spans="1:3" x14ac:dyDescent="0.35">
      <c r="A57" s="2" t="s">
        <v>3</v>
      </c>
      <c r="B57" s="2">
        <v>5404</v>
      </c>
      <c r="C57" s="2" t="s">
        <v>1038</v>
      </c>
    </row>
    <row r="58" spans="1:3" x14ac:dyDescent="0.35">
      <c r="A58" s="2" t="s">
        <v>3</v>
      </c>
      <c r="B58" s="2">
        <v>5405</v>
      </c>
      <c r="C58" s="2" t="s">
        <v>1039</v>
      </c>
    </row>
    <row r="59" spans="1:3" x14ac:dyDescent="0.35">
      <c r="A59" s="2" t="s">
        <v>3</v>
      </c>
      <c r="B59" s="2">
        <v>5501</v>
      </c>
      <c r="C59" s="2" t="s">
        <v>1040</v>
      </c>
    </row>
    <row r="60" spans="1:3" x14ac:dyDescent="0.35">
      <c r="A60" s="2" t="s">
        <v>3</v>
      </c>
      <c r="B60" s="2">
        <v>5502</v>
      </c>
      <c r="C60" s="2" t="s">
        <v>1041</v>
      </c>
    </row>
    <row r="61" spans="1:3" x14ac:dyDescent="0.35">
      <c r="A61" s="2" t="s">
        <v>3</v>
      </c>
      <c r="B61" s="2">
        <v>5503</v>
      </c>
      <c r="C61" s="2" t="s">
        <v>1042</v>
      </c>
    </row>
    <row r="62" spans="1:3" x14ac:dyDescent="0.35">
      <c r="A62" s="2" t="s">
        <v>3</v>
      </c>
      <c r="B62" s="2">
        <v>5504</v>
      </c>
      <c r="C62" s="2" t="s">
        <v>1043</v>
      </c>
    </row>
    <row r="63" spans="1:3" x14ac:dyDescent="0.35">
      <c r="A63" s="2" t="s">
        <v>3</v>
      </c>
      <c r="B63" s="2">
        <v>5506</v>
      </c>
      <c r="C63" s="2" t="s">
        <v>1044</v>
      </c>
    </row>
    <row r="64" spans="1:3" x14ac:dyDescent="0.35">
      <c r="A64" s="2" t="s">
        <v>3</v>
      </c>
      <c r="B64" s="2">
        <v>5601</v>
      </c>
      <c r="C64" s="2" t="s">
        <v>1045</v>
      </c>
    </row>
    <row r="65" spans="1:3" x14ac:dyDescent="0.35">
      <c r="A65" s="2" t="s">
        <v>3</v>
      </c>
      <c r="B65" s="2">
        <v>5602</v>
      </c>
      <c r="C65" s="2" t="s">
        <v>1046</v>
      </c>
    </row>
    <row r="66" spans="1:3" x14ac:dyDescent="0.35">
      <c r="A66" s="2" t="s">
        <v>3</v>
      </c>
      <c r="B66" s="2">
        <v>5603</v>
      </c>
      <c r="C66" s="2" t="s">
        <v>1047</v>
      </c>
    </row>
    <row r="67" spans="1:3" x14ac:dyDescent="0.35">
      <c r="A67" s="2" t="s">
        <v>3</v>
      </c>
      <c r="B67" s="2">
        <v>5604</v>
      </c>
      <c r="C67" s="2" t="s">
        <v>1048</v>
      </c>
    </row>
    <row r="68" spans="1:3" x14ac:dyDescent="0.35">
      <c r="A68" s="2" t="s">
        <v>3</v>
      </c>
      <c r="B68" s="2">
        <v>5605</v>
      </c>
      <c r="C68" s="2" t="s">
        <v>1049</v>
      </c>
    </row>
    <row r="69" spans="1:3" x14ac:dyDescent="0.35">
      <c r="A69" s="2" t="s">
        <v>3</v>
      </c>
      <c r="B69" s="2">
        <v>5606</v>
      </c>
      <c r="C69" s="2" t="s">
        <v>1050</v>
      </c>
    </row>
    <row r="70" spans="1:3" x14ac:dyDescent="0.35">
      <c r="A70" s="2" t="s">
        <v>3</v>
      </c>
      <c r="B70" s="2">
        <v>5701</v>
      </c>
      <c r="C70" s="2" t="s">
        <v>1051</v>
      </c>
    </row>
    <row r="71" spans="1:3" x14ac:dyDescent="0.35">
      <c r="A71" s="2" t="s">
        <v>3</v>
      </c>
      <c r="B71" s="2">
        <v>5702</v>
      </c>
      <c r="C71" s="2" t="s">
        <v>1052</v>
      </c>
    </row>
    <row r="72" spans="1:3" x14ac:dyDescent="0.35">
      <c r="A72" s="2" t="s">
        <v>3</v>
      </c>
      <c r="B72" s="2">
        <v>5703</v>
      </c>
      <c r="C72" s="2" t="s">
        <v>1053</v>
      </c>
    </row>
    <row r="73" spans="1:3" x14ac:dyDescent="0.35">
      <c r="A73" s="2" t="s">
        <v>3</v>
      </c>
      <c r="B73" s="2">
        <v>5704</v>
      </c>
      <c r="C73" s="2" t="s">
        <v>1054</v>
      </c>
    </row>
    <row r="74" spans="1:3" x14ac:dyDescent="0.35">
      <c r="A74" s="2" t="s">
        <v>3</v>
      </c>
      <c r="B74" s="2">
        <v>5705</v>
      </c>
      <c r="C74" s="2" t="s">
        <v>1055</v>
      </c>
    </row>
    <row r="75" spans="1:3" x14ac:dyDescent="0.35">
      <c r="A75" s="2" t="s">
        <v>3</v>
      </c>
      <c r="B75" s="2">
        <v>5706</v>
      </c>
      <c r="C75" s="2" t="s">
        <v>1056</v>
      </c>
    </row>
    <row r="76" spans="1:3" x14ac:dyDescent="0.35">
      <c r="A76" s="2" t="s">
        <v>3</v>
      </c>
      <c r="B76" s="2">
        <v>5801</v>
      </c>
      <c r="C76" s="2" t="s">
        <v>1057</v>
      </c>
    </row>
    <row r="77" spans="1:3" x14ac:dyDescent="0.35">
      <c r="A77" s="2" t="s">
        <v>3</v>
      </c>
      <c r="B77" s="2">
        <v>5802</v>
      </c>
      <c r="C77" s="2" t="s">
        <v>1058</v>
      </c>
    </row>
    <row r="78" spans="1:3" x14ac:dyDescent="0.35">
      <c r="A78" s="2" t="s">
        <v>3</v>
      </c>
      <c r="B78" s="2">
        <v>5803</v>
      </c>
      <c r="C78" s="2" t="s">
        <v>1059</v>
      </c>
    </row>
    <row r="79" spans="1:3" x14ac:dyDescent="0.35">
      <c r="A79" s="2" t="s">
        <v>3</v>
      </c>
      <c r="B79" s="2">
        <v>5804</v>
      </c>
      <c r="C79" s="2" t="s">
        <v>1060</v>
      </c>
    </row>
    <row r="80" spans="1:3" x14ac:dyDescent="0.35">
      <c r="A80" s="2" t="s">
        <v>3</v>
      </c>
      <c r="B80" s="2">
        <v>6101</v>
      </c>
      <c r="C80" s="2" t="s">
        <v>1061</v>
      </c>
    </row>
    <row r="81" spans="1:3" x14ac:dyDescent="0.35">
      <c r="A81" s="2" t="s">
        <v>3</v>
      </c>
      <c r="B81" s="2">
        <v>6102</v>
      </c>
      <c r="C81" s="2" t="s">
        <v>1062</v>
      </c>
    </row>
    <row r="82" spans="1:3" x14ac:dyDescent="0.35">
      <c r="A82" s="2" t="s">
        <v>3</v>
      </c>
      <c r="B82" s="2">
        <v>6103</v>
      </c>
      <c r="C82" s="2" t="s">
        <v>1063</v>
      </c>
    </row>
    <row r="83" spans="1:3" x14ac:dyDescent="0.35">
      <c r="A83" s="2" t="s">
        <v>3</v>
      </c>
      <c r="B83" s="2">
        <v>6104</v>
      </c>
      <c r="C83" s="2" t="s">
        <v>1064</v>
      </c>
    </row>
    <row r="84" spans="1:3" x14ac:dyDescent="0.35">
      <c r="A84" s="2" t="s">
        <v>3</v>
      </c>
      <c r="B84" s="2">
        <v>6105</v>
      </c>
      <c r="C84" s="2" t="s">
        <v>1065</v>
      </c>
    </row>
    <row r="85" spans="1:3" x14ac:dyDescent="0.35">
      <c r="A85" s="2" t="s">
        <v>3</v>
      </c>
      <c r="B85" s="2">
        <v>6106</v>
      </c>
      <c r="C85" s="2" t="s">
        <v>1066</v>
      </c>
    </row>
    <row r="86" spans="1:3" x14ac:dyDescent="0.35">
      <c r="A86" s="2" t="s">
        <v>3</v>
      </c>
      <c r="B86" s="2">
        <v>6107</v>
      </c>
      <c r="C86" s="2" t="s">
        <v>1067</v>
      </c>
    </row>
    <row r="87" spans="1:3" x14ac:dyDescent="0.35">
      <c r="A87" s="2" t="s">
        <v>3</v>
      </c>
      <c r="B87" s="2">
        <v>6108</v>
      </c>
      <c r="C87" s="2" t="s">
        <v>1068</v>
      </c>
    </row>
    <row r="88" spans="1:3" x14ac:dyDescent="0.35">
      <c r="A88" s="2" t="s">
        <v>3</v>
      </c>
      <c r="B88" s="2">
        <v>6109</v>
      </c>
      <c r="C88" s="2" t="s">
        <v>1069</v>
      </c>
    </row>
    <row r="89" spans="1:3" x14ac:dyDescent="0.35">
      <c r="A89" s="2" t="s">
        <v>3</v>
      </c>
      <c r="B89" s="2">
        <v>6110</v>
      </c>
      <c r="C89" s="2" t="s">
        <v>1070</v>
      </c>
    </row>
    <row r="90" spans="1:3" x14ac:dyDescent="0.35">
      <c r="A90" s="2" t="s">
        <v>3</v>
      </c>
      <c r="B90" s="2">
        <v>6111</v>
      </c>
      <c r="C90" s="2" t="s">
        <v>1071</v>
      </c>
    </row>
    <row r="91" spans="1:3" x14ac:dyDescent="0.35">
      <c r="A91" s="2" t="s">
        <v>3</v>
      </c>
      <c r="B91" s="2">
        <v>6112</v>
      </c>
      <c r="C91" s="2" t="s">
        <v>1072</v>
      </c>
    </row>
    <row r="92" spans="1:3" x14ac:dyDescent="0.35">
      <c r="A92" s="2" t="s">
        <v>3</v>
      </c>
      <c r="B92" s="2">
        <v>6113</v>
      </c>
      <c r="C92" s="2" t="s">
        <v>1073</v>
      </c>
    </row>
    <row r="93" spans="1:3" x14ac:dyDescent="0.35">
      <c r="A93" s="2" t="s">
        <v>3</v>
      </c>
      <c r="B93" s="2">
        <v>6114</v>
      </c>
      <c r="C93" s="2" t="s">
        <v>1074</v>
      </c>
    </row>
    <row r="94" spans="1:3" x14ac:dyDescent="0.35">
      <c r="A94" s="2" t="s">
        <v>3</v>
      </c>
      <c r="B94" s="2">
        <v>6115</v>
      </c>
      <c r="C94" s="2" t="s">
        <v>1075</v>
      </c>
    </row>
    <row r="95" spans="1:3" x14ac:dyDescent="0.35">
      <c r="A95" s="2" t="s">
        <v>3</v>
      </c>
      <c r="B95" s="2">
        <v>6116</v>
      </c>
      <c r="C95" s="2" t="s">
        <v>1076</v>
      </c>
    </row>
    <row r="96" spans="1:3" x14ac:dyDescent="0.35">
      <c r="A96" s="2" t="s">
        <v>3</v>
      </c>
      <c r="B96" s="2">
        <v>6117</v>
      </c>
      <c r="C96" s="2" t="s">
        <v>1077</v>
      </c>
    </row>
    <row r="97" spans="1:3" x14ac:dyDescent="0.35">
      <c r="A97" s="2" t="s">
        <v>3</v>
      </c>
      <c r="B97" s="2">
        <v>6201</v>
      </c>
      <c r="C97" s="2" t="s">
        <v>1078</v>
      </c>
    </row>
    <row r="98" spans="1:3" x14ac:dyDescent="0.35">
      <c r="A98" s="2" t="s">
        <v>3</v>
      </c>
      <c r="B98" s="2">
        <v>6202</v>
      </c>
      <c r="C98" s="2" t="s">
        <v>1079</v>
      </c>
    </row>
    <row r="99" spans="1:3" x14ac:dyDescent="0.35">
      <c r="A99" s="2" t="s">
        <v>3</v>
      </c>
      <c r="B99" s="2">
        <v>6203</v>
      </c>
      <c r="C99" s="2" t="s">
        <v>1080</v>
      </c>
    </row>
    <row r="100" spans="1:3" x14ac:dyDescent="0.35">
      <c r="A100" s="2" t="s">
        <v>3</v>
      </c>
      <c r="B100" s="2">
        <v>6204</v>
      </c>
      <c r="C100" s="2" t="s">
        <v>1081</v>
      </c>
    </row>
    <row r="101" spans="1:3" x14ac:dyDescent="0.35">
      <c r="A101" s="2" t="s">
        <v>3</v>
      </c>
      <c r="B101" s="2">
        <v>6205</v>
      </c>
      <c r="C101" s="2" t="s">
        <v>1082</v>
      </c>
    </row>
    <row r="102" spans="1:3" x14ac:dyDescent="0.35">
      <c r="A102" s="2" t="s">
        <v>3</v>
      </c>
      <c r="B102" s="2">
        <v>6206</v>
      </c>
      <c r="C102" s="2" t="s">
        <v>1083</v>
      </c>
    </row>
    <row r="103" spans="1:3" x14ac:dyDescent="0.35">
      <c r="A103" s="2" t="s">
        <v>3</v>
      </c>
      <c r="B103" s="2">
        <v>6301</v>
      </c>
      <c r="C103" s="2" t="s">
        <v>1084</v>
      </c>
    </row>
    <row r="104" spans="1:3" x14ac:dyDescent="0.35">
      <c r="A104" s="2" t="s">
        <v>3</v>
      </c>
      <c r="B104" s="2">
        <v>6302</v>
      </c>
      <c r="C104" s="2" t="s">
        <v>1085</v>
      </c>
    </row>
    <row r="105" spans="1:3" x14ac:dyDescent="0.35">
      <c r="A105" s="2" t="s">
        <v>3</v>
      </c>
      <c r="B105" s="2">
        <v>6303</v>
      </c>
      <c r="C105" s="2" t="s">
        <v>1086</v>
      </c>
    </row>
    <row r="106" spans="1:3" x14ac:dyDescent="0.35">
      <c r="A106" s="2" t="s">
        <v>3</v>
      </c>
      <c r="B106" s="2">
        <v>6304</v>
      </c>
      <c r="C106" s="2" t="s">
        <v>1087</v>
      </c>
    </row>
    <row r="107" spans="1:3" x14ac:dyDescent="0.35">
      <c r="A107" s="2" t="s">
        <v>3</v>
      </c>
      <c r="B107" s="2">
        <v>6305</v>
      </c>
      <c r="C107" s="2" t="s">
        <v>1088</v>
      </c>
    </row>
    <row r="108" spans="1:3" x14ac:dyDescent="0.35">
      <c r="A108" s="2" t="s">
        <v>3</v>
      </c>
      <c r="B108" s="2">
        <v>6306</v>
      </c>
      <c r="C108" s="2" t="s">
        <v>1089</v>
      </c>
    </row>
    <row r="109" spans="1:3" x14ac:dyDescent="0.35">
      <c r="A109" s="2" t="s">
        <v>3</v>
      </c>
      <c r="B109" s="2">
        <v>6307</v>
      </c>
      <c r="C109" s="2" t="s">
        <v>1090</v>
      </c>
    </row>
    <row r="110" spans="1:3" x14ac:dyDescent="0.35">
      <c r="A110" s="2" t="s">
        <v>3</v>
      </c>
      <c r="B110" s="2">
        <v>6308</v>
      </c>
      <c r="C110" s="2" t="s">
        <v>1091</v>
      </c>
    </row>
    <row r="111" spans="1:3" x14ac:dyDescent="0.35">
      <c r="A111" s="2" t="s">
        <v>3</v>
      </c>
      <c r="B111" s="2">
        <v>6309</v>
      </c>
      <c r="C111" s="2" t="s">
        <v>1092</v>
      </c>
    </row>
    <row r="112" spans="1:3" x14ac:dyDescent="0.35">
      <c r="A112" s="2" t="s">
        <v>3</v>
      </c>
      <c r="B112" s="2">
        <v>6310</v>
      </c>
      <c r="C112" s="2" t="s">
        <v>1093</v>
      </c>
    </row>
    <row r="113" spans="1:3" x14ac:dyDescent="0.35">
      <c r="A113" s="2" t="s">
        <v>3</v>
      </c>
      <c r="B113" s="2">
        <v>7101</v>
      </c>
      <c r="C113" s="2" t="s">
        <v>1094</v>
      </c>
    </row>
    <row r="114" spans="1:3" x14ac:dyDescent="0.35">
      <c r="A114" s="2" t="s">
        <v>3</v>
      </c>
      <c r="B114" s="2">
        <v>7102</v>
      </c>
      <c r="C114" s="2" t="s">
        <v>1095</v>
      </c>
    </row>
    <row r="115" spans="1:3" x14ac:dyDescent="0.35">
      <c r="A115" s="2" t="s">
        <v>3</v>
      </c>
      <c r="B115" s="2">
        <v>7103</v>
      </c>
      <c r="C115" s="2" t="s">
        <v>1096</v>
      </c>
    </row>
    <row r="116" spans="1:3" x14ac:dyDescent="0.35">
      <c r="A116" s="2" t="s">
        <v>3</v>
      </c>
      <c r="B116" s="2">
        <v>7104</v>
      </c>
      <c r="C116" s="2" t="s">
        <v>1097</v>
      </c>
    </row>
    <row r="117" spans="1:3" x14ac:dyDescent="0.35">
      <c r="A117" s="2" t="s">
        <v>3</v>
      </c>
      <c r="B117" s="2">
        <v>7105</v>
      </c>
      <c r="C117" s="2" t="s">
        <v>1098</v>
      </c>
    </row>
    <row r="118" spans="1:3" x14ac:dyDescent="0.35">
      <c r="A118" s="2" t="s">
        <v>3</v>
      </c>
      <c r="B118" s="2">
        <v>7106</v>
      </c>
      <c r="C118" s="2" t="s">
        <v>1099</v>
      </c>
    </row>
    <row r="119" spans="1:3" x14ac:dyDescent="0.35">
      <c r="A119" s="2" t="s">
        <v>3</v>
      </c>
      <c r="B119" s="2">
        <v>7107</v>
      </c>
      <c r="C119" s="2" t="s">
        <v>1100</v>
      </c>
    </row>
    <row r="120" spans="1:3" x14ac:dyDescent="0.35">
      <c r="A120" s="2" t="s">
        <v>3</v>
      </c>
      <c r="B120" s="2">
        <v>7108</v>
      </c>
      <c r="C120" s="2" t="s">
        <v>1101</v>
      </c>
    </row>
    <row r="121" spans="1:3" x14ac:dyDescent="0.35">
      <c r="A121" s="2" t="s">
        <v>3</v>
      </c>
      <c r="B121" s="2">
        <v>7109</v>
      </c>
      <c r="C121" s="2" t="s">
        <v>1102</v>
      </c>
    </row>
    <row r="122" spans="1:3" x14ac:dyDescent="0.35">
      <c r="A122" s="2" t="s">
        <v>3</v>
      </c>
      <c r="B122" s="2">
        <v>7110</v>
      </c>
      <c r="C122" s="2" t="s">
        <v>1103</v>
      </c>
    </row>
    <row r="123" spans="1:3" x14ac:dyDescent="0.35">
      <c r="A123" s="2" t="s">
        <v>3</v>
      </c>
      <c r="B123" s="2">
        <v>7201</v>
      </c>
      <c r="C123" s="2" t="s">
        <v>1104</v>
      </c>
    </row>
    <row r="124" spans="1:3" x14ac:dyDescent="0.35">
      <c r="A124" s="2" t="s">
        <v>3</v>
      </c>
      <c r="B124" s="2">
        <v>7202</v>
      </c>
      <c r="C124" s="2" t="s">
        <v>1105</v>
      </c>
    </row>
    <row r="125" spans="1:3" x14ac:dyDescent="0.35">
      <c r="A125" s="2" t="s">
        <v>3</v>
      </c>
      <c r="B125" s="2">
        <v>7203</v>
      </c>
      <c r="C125" s="2" t="s">
        <v>1106</v>
      </c>
    </row>
    <row r="126" spans="1:3" x14ac:dyDescent="0.35">
      <c r="A126" s="2" t="s">
        <v>3</v>
      </c>
      <c r="B126" s="2">
        <v>7301</v>
      </c>
      <c r="C126" s="2" t="s">
        <v>1107</v>
      </c>
    </row>
    <row r="127" spans="1:3" x14ac:dyDescent="0.35">
      <c r="A127" s="2" t="s">
        <v>3</v>
      </c>
      <c r="B127" s="2">
        <v>7302</v>
      </c>
      <c r="C127" s="2" t="s">
        <v>1108</v>
      </c>
    </row>
    <row r="128" spans="1:3" x14ac:dyDescent="0.35">
      <c r="A128" s="2" t="s">
        <v>3</v>
      </c>
      <c r="B128" s="2">
        <v>7303</v>
      </c>
      <c r="C128" s="2" t="s">
        <v>1109</v>
      </c>
    </row>
    <row r="129" spans="1:3" x14ac:dyDescent="0.35">
      <c r="A129" s="2" t="s">
        <v>3</v>
      </c>
      <c r="B129" s="2">
        <v>7304</v>
      </c>
      <c r="C129" s="2" t="s">
        <v>1110</v>
      </c>
    </row>
    <row r="130" spans="1:3" x14ac:dyDescent="0.35">
      <c r="A130" s="2" t="s">
        <v>3</v>
      </c>
      <c r="B130" s="2">
        <v>7305</v>
      </c>
      <c r="C130" s="2" t="s">
        <v>1111</v>
      </c>
    </row>
    <row r="131" spans="1:3" x14ac:dyDescent="0.35">
      <c r="A131" s="2" t="s">
        <v>3</v>
      </c>
      <c r="B131" s="2">
        <v>7306</v>
      </c>
      <c r="C131" s="2" t="s">
        <v>1112</v>
      </c>
    </row>
    <row r="132" spans="1:3" x14ac:dyDescent="0.35">
      <c r="A132" s="2" t="s">
        <v>3</v>
      </c>
      <c r="B132" s="2">
        <v>7307</v>
      </c>
      <c r="C132" s="2" t="s">
        <v>1113</v>
      </c>
    </row>
    <row r="133" spans="1:3" x14ac:dyDescent="0.35">
      <c r="A133" s="2" t="s">
        <v>3</v>
      </c>
      <c r="B133" s="2">
        <v>7308</v>
      </c>
      <c r="C133" s="2" t="s">
        <v>1114</v>
      </c>
    </row>
    <row r="134" spans="1:3" x14ac:dyDescent="0.35">
      <c r="A134" s="2" t="s">
        <v>3</v>
      </c>
      <c r="B134" s="2">
        <v>7309</v>
      </c>
      <c r="C134" s="2" t="s">
        <v>1115</v>
      </c>
    </row>
    <row r="135" spans="1:3" x14ac:dyDescent="0.35">
      <c r="A135" s="2" t="s">
        <v>3</v>
      </c>
      <c r="B135" s="2">
        <v>7401</v>
      </c>
      <c r="C135" s="2" t="s">
        <v>1116</v>
      </c>
    </row>
    <row r="136" spans="1:3" x14ac:dyDescent="0.35">
      <c r="A136" s="2" t="s">
        <v>3</v>
      </c>
      <c r="B136" s="2">
        <v>7402</v>
      </c>
      <c r="C136" s="2" t="s">
        <v>1117</v>
      </c>
    </row>
    <row r="137" spans="1:3" x14ac:dyDescent="0.35">
      <c r="A137" s="2" t="s">
        <v>3</v>
      </c>
      <c r="B137" s="2">
        <v>7403</v>
      </c>
      <c r="C137" s="2" t="s">
        <v>1118</v>
      </c>
    </row>
    <row r="138" spans="1:3" x14ac:dyDescent="0.35">
      <c r="A138" s="2" t="s">
        <v>3</v>
      </c>
      <c r="B138" s="2">
        <v>7404</v>
      </c>
      <c r="C138" s="2" t="s">
        <v>1119</v>
      </c>
    </row>
    <row r="139" spans="1:3" x14ac:dyDescent="0.35">
      <c r="A139" s="2" t="s">
        <v>3</v>
      </c>
      <c r="B139" s="2">
        <v>7405</v>
      </c>
      <c r="C139" s="2" t="s">
        <v>1120</v>
      </c>
    </row>
    <row r="140" spans="1:3" x14ac:dyDescent="0.35">
      <c r="A140" s="2" t="s">
        <v>3</v>
      </c>
      <c r="B140" s="2">
        <v>7406</v>
      </c>
      <c r="C140" s="2" t="s">
        <v>1121</v>
      </c>
    </row>
    <row r="141" spans="1:3" x14ac:dyDescent="0.35">
      <c r="A141" s="2" t="s">
        <v>3</v>
      </c>
      <c r="B141" s="2">
        <v>7407</v>
      </c>
      <c r="C141" s="2" t="s">
        <v>1122</v>
      </c>
    </row>
    <row r="142" spans="1:3" x14ac:dyDescent="0.35">
      <c r="A142" s="2" t="s">
        <v>3</v>
      </c>
      <c r="B142" s="2">
        <v>7408</v>
      </c>
      <c r="C142" s="2" t="s">
        <v>1123</v>
      </c>
    </row>
    <row r="143" spans="1:3" x14ac:dyDescent="0.35">
      <c r="A143" s="2" t="s">
        <v>3</v>
      </c>
      <c r="B143" s="2">
        <v>8101</v>
      </c>
      <c r="C143" s="2" t="s">
        <v>1124</v>
      </c>
    </row>
    <row r="144" spans="1:3" x14ac:dyDescent="0.35">
      <c r="A144" s="2" t="s">
        <v>3</v>
      </c>
      <c r="B144" s="2">
        <v>8102</v>
      </c>
      <c r="C144" s="2" t="s">
        <v>1125</v>
      </c>
    </row>
    <row r="145" spans="1:3" x14ac:dyDescent="0.35">
      <c r="A145" s="2" t="s">
        <v>3</v>
      </c>
      <c r="B145" s="2">
        <v>8103</v>
      </c>
      <c r="C145" s="2" t="s">
        <v>1126</v>
      </c>
    </row>
    <row r="146" spans="1:3" x14ac:dyDescent="0.35">
      <c r="A146" s="2" t="s">
        <v>3</v>
      </c>
      <c r="B146" s="2">
        <v>8104</v>
      </c>
      <c r="C146" s="2" t="s">
        <v>1127</v>
      </c>
    </row>
    <row r="147" spans="1:3" x14ac:dyDescent="0.35">
      <c r="A147" s="2" t="s">
        <v>3</v>
      </c>
      <c r="B147" s="2">
        <v>8105</v>
      </c>
      <c r="C147" s="2" t="s">
        <v>1128</v>
      </c>
    </row>
    <row r="148" spans="1:3" x14ac:dyDescent="0.35">
      <c r="A148" s="2" t="s">
        <v>3</v>
      </c>
      <c r="B148" s="2">
        <v>8106</v>
      </c>
      <c r="C148" s="2" t="s">
        <v>1129</v>
      </c>
    </row>
    <row r="149" spans="1:3" x14ac:dyDescent="0.35">
      <c r="A149" s="2" t="s">
        <v>3</v>
      </c>
      <c r="B149" s="2">
        <v>8107</v>
      </c>
      <c r="C149" s="2" t="s">
        <v>1130</v>
      </c>
    </row>
    <row r="150" spans="1:3" x14ac:dyDescent="0.35">
      <c r="A150" s="2" t="s">
        <v>3</v>
      </c>
      <c r="B150" s="2">
        <v>8108</v>
      </c>
      <c r="C150" s="2" t="s">
        <v>1131</v>
      </c>
    </row>
    <row r="151" spans="1:3" x14ac:dyDescent="0.35">
      <c r="A151" s="2" t="s">
        <v>3</v>
      </c>
      <c r="B151" s="2">
        <v>8109</v>
      </c>
      <c r="C151" s="2" t="s">
        <v>1132</v>
      </c>
    </row>
    <row r="152" spans="1:3" x14ac:dyDescent="0.35">
      <c r="A152" s="2" t="s">
        <v>3</v>
      </c>
      <c r="B152" s="2">
        <v>8110</v>
      </c>
      <c r="C152" s="2" t="s">
        <v>1133</v>
      </c>
    </row>
    <row r="153" spans="1:3" x14ac:dyDescent="0.35">
      <c r="A153" s="2" t="s">
        <v>3</v>
      </c>
      <c r="B153" s="2">
        <v>8111</v>
      </c>
      <c r="C153" s="2" t="s">
        <v>1134</v>
      </c>
    </row>
    <row r="154" spans="1:3" x14ac:dyDescent="0.35">
      <c r="A154" s="2" t="s">
        <v>3</v>
      </c>
      <c r="B154" s="2">
        <v>8112</v>
      </c>
      <c r="C154" s="2" t="s">
        <v>1135</v>
      </c>
    </row>
    <row r="155" spans="1:3" x14ac:dyDescent="0.35">
      <c r="A155" s="2" t="s">
        <v>3</v>
      </c>
      <c r="B155" s="2">
        <v>8201</v>
      </c>
      <c r="C155" s="2" t="s">
        <v>1136</v>
      </c>
    </row>
    <row r="156" spans="1:3" x14ac:dyDescent="0.35">
      <c r="A156" s="2" t="s">
        <v>3</v>
      </c>
      <c r="B156" s="2">
        <v>8202</v>
      </c>
      <c r="C156" s="2" t="s">
        <v>1137</v>
      </c>
    </row>
    <row r="157" spans="1:3" x14ac:dyDescent="0.35">
      <c r="A157" s="2" t="s">
        <v>3</v>
      </c>
      <c r="B157" s="2">
        <v>8203</v>
      </c>
      <c r="C157" s="2" t="s">
        <v>1138</v>
      </c>
    </row>
    <row r="158" spans="1:3" x14ac:dyDescent="0.35">
      <c r="A158" s="2" t="s">
        <v>3</v>
      </c>
      <c r="B158" s="2">
        <v>8204</v>
      </c>
      <c r="C158" s="2" t="s">
        <v>1139</v>
      </c>
    </row>
    <row r="159" spans="1:3" x14ac:dyDescent="0.35">
      <c r="A159" s="2" t="s">
        <v>3</v>
      </c>
      <c r="B159" s="2">
        <v>8205</v>
      </c>
      <c r="C159" s="2" t="s">
        <v>1140</v>
      </c>
    </row>
    <row r="160" spans="1:3" x14ac:dyDescent="0.35">
      <c r="A160" s="2" t="s">
        <v>3</v>
      </c>
      <c r="B160" s="2">
        <v>8206</v>
      </c>
      <c r="C160" s="2" t="s">
        <v>1141</v>
      </c>
    </row>
    <row r="161" spans="1:3" x14ac:dyDescent="0.35">
      <c r="A161" s="2" t="s">
        <v>3</v>
      </c>
      <c r="B161" s="2">
        <v>8207</v>
      </c>
      <c r="C161" s="2" t="s">
        <v>1142</v>
      </c>
    </row>
    <row r="162" spans="1:3" x14ac:dyDescent="0.35">
      <c r="A162" s="2" t="s">
        <v>3</v>
      </c>
      <c r="B162" s="2">
        <v>8301</v>
      </c>
      <c r="C162" s="2" t="s">
        <v>1143</v>
      </c>
    </row>
    <row r="163" spans="1:3" x14ac:dyDescent="0.35">
      <c r="A163" s="2" t="s">
        <v>3</v>
      </c>
      <c r="B163" s="2">
        <v>8302</v>
      </c>
      <c r="C163" s="2" t="s">
        <v>1144</v>
      </c>
    </row>
    <row r="164" spans="1:3" x14ac:dyDescent="0.35">
      <c r="A164" s="2" t="s">
        <v>3</v>
      </c>
      <c r="B164" s="2">
        <v>8303</v>
      </c>
      <c r="C164" s="2" t="s">
        <v>1145</v>
      </c>
    </row>
    <row r="165" spans="1:3" x14ac:dyDescent="0.35">
      <c r="A165" s="2" t="s">
        <v>3</v>
      </c>
      <c r="B165" s="2">
        <v>8304</v>
      </c>
      <c r="C165" s="2" t="s">
        <v>1146</v>
      </c>
    </row>
    <row r="166" spans="1:3" x14ac:dyDescent="0.35">
      <c r="A166" s="2" t="s">
        <v>3</v>
      </c>
      <c r="B166" s="2">
        <v>8305</v>
      </c>
      <c r="C166" s="2" t="s">
        <v>1147</v>
      </c>
    </row>
    <row r="167" spans="1:3" x14ac:dyDescent="0.35">
      <c r="A167" s="2" t="s">
        <v>3</v>
      </c>
      <c r="B167" s="2">
        <v>8306</v>
      </c>
      <c r="C167" s="2" t="s">
        <v>1148</v>
      </c>
    </row>
    <row r="168" spans="1:3" x14ac:dyDescent="0.35">
      <c r="A168" s="2" t="s">
        <v>3</v>
      </c>
      <c r="B168" s="2">
        <v>8307</v>
      </c>
      <c r="C168" s="2" t="s">
        <v>1149</v>
      </c>
    </row>
    <row r="169" spans="1:3" x14ac:dyDescent="0.35">
      <c r="A169" s="2" t="s">
        <v>3</v>
      </c>
      <c r="B169" s="2">
        <v>8308</v>
      </c>
      <c r="C169" s="2" t="s">
        <v>1150</v>
      </c>
    </row>
    <row r="170" spans="1:3" x14ac:dyDescent="0.35">
      <c r="A170" s="2" t="s">
        <v>3</v>
      </c>
      <c r="B170" s="2">
        <v>8309</v>
      </c>
      <c r="C170" s="2" t="s">
        <v>1151</v>
      </c>
    </row>
    <row r="171" spans="1:3" x14ac:dyDescent="0.35">
      <c r="A171" s="2" t="s">
        <v>3</v>
      </c>
      <c r="B171" s="2">
        <v>8310</v>
      </c>
      <c r="C171" s="2" t="s">
        <v>1152</v>
      </c>
    </row>
    <row r="172" spans="1:3" x14ac:dyDescent="0.35">
      <c r="A172" s="2" t="s">
        <v>3</v>
      </c>
      <c r="B172" s="2">
        <v>8311</v>
      </c>
      <c r="C172" s="2" t="s">
        <v>1153</v>
      </c>
    </row>
    <row r="173" spans="1:3" x14ac:dyDescent="0.35">
      <c r="A173" s="2" t="s">
        <v>3</v>
      </c>
      <c r="B173" s="2">
        <v>8312</v>
      </c>
      <c r="C173" s="2" t="s">
        <v>1154</v>
      </c>
    </row>
    <row r="174" spans="1:3" x14ac:dyDescent="0.35">
      <c r="A174" s="2" t="s">
        <v>3</v>
      </c>
      <c r="B174" s="2">
        <v>8313</v>
      </c>
      <c r="C174" s="2" t="s">
        <v>1155</v>
      </c>
    </row>
    <row r="175" spans="1:3" x14ac:dyDescent="0.35">
      <c r="A175" s="2" t="s">
        <v>3</v>
      </c>
      <c r="B175" s="2">
        <v>8314</v>
      </c>
      <c r="C175" s="2" t="s">
        <v>1156</v>
      </c>
    </row>
    <row r="176" spans="1:3" x14ac:dyDescent="0.35">
      <c r="A176" s="2" t="s">
        <v>3</v>
      </c>
      <c r="B176" s="2">
        <v>8401</v>
      </c>
      <c r="C176" s="2" t="s">
        <v>1157</v>
      </c>
    </row>
    <row r="177" spans="1:3" x14ac:dyDescent="0.35">
      <c r="A177" s="2" t="s">
        <v>3</v>
      </c>
      <c r="B177" s="2">
        <v>8402</v>
      </c>
      <c r="C177" s="2" t="s">
        <v>1158</v>
      </c>
    </row>
    <row r="178" spans="1:3" x14ac:dyDescent="0.35">
      <c r="A178" s="2" t="s">
        <v>3</v>
      </c>
      <c r="B178" s="2">
        <v>8403</v>
      </c>
      <c r="C178" s="2" t="s">
        <v>1159</v>
      </c>
    </row>
    <row r="179" spans="1:3" x14ac:dyDescent="0.35">
      <c r="A179" s="2" t="s">
        <v>3</v>
      </c>
      <c r="B179" s="2">
        <v>8404</v>
      </c>
      <c r="C179" s="2" t="s">
        <v>1160</v>
      </c>
    </row>
    <row r="180" spans="1:3" x14ac:dyDescent="0.35">
      <c r="A180" s="2" t="s">
        <v>3</v>
      </c>
      <c r="B180" s="2">
        <v>8405</v>
      </c>
      <c r="C180" s="2" t="s">
        <v>1161</v>
      </c>
    </row>
    <row r="181" spans="1:3" x14ac:dyDescent="0.35">
      <c r="A181" s="2" t="s">
        <v>3</v>
      </c>
      <c r="B181" s="2">
        <v>8406</v>
      </c>
      <c r="C181" s="2" t="s">
        <v>1162</v>
      </c>
    </row>
    <row r="182" spans="1:3" x14ac:dyDescent="0.35">
      <c r="A182" s="2" t="s">
        <v>3</v>
      </c>
      <c r="B182" s="2">
        <v>8407</v>
      </c>
      <c r="C182" s="2" t="s">
        <v>1163</v>
      </c>
    </row>
    <row r="183" spans="1:3" x14ac:dyDescent="0.35">
      <c r="A183" s="2" t="s">
        <v>3</v>
      </c>
      <c r="B183" s="2">
        <v>8408</v>
      </c>
      <c r="C183" s="2" t="s">
        <v>1164</v>
      </c>
    </row>
    <row r="184" spans="1:3" x14ac:dyDescent="0.35">
      <c r="A184" s="2" t="s">
        <v>3</v>
      </c>
      <c r="B184" s="2">
        <v>8409</v>
      </c>
      <c r="C184" s="2" t="s">
        <v>1165</v>
      </c>
    </row>
    <row r="185" spans="1:3" x14ac:dyDescent="0.35">
      <c r="A185" s="2" t="s">
        <v>3</v>
      </c>
      <c r="B185" s="2">
        <v>8410</v>
      </c>
      <c r="C185" s="2" t="s">
        <v>1166</v>
      </c>
    </row>
    <row r="186" spans="1:3" x14ac:dyDescent="0.35">
      <c r="A186" s="2" t="s">
        <v>3</v>
      </c>
      <c r="B186" s="2">
        <v>8411</v>
      </c>
      <c r="C186" s="2" t="s">
        <v>1167</v>
      </c>
    </row>
    <row r="187" spans="1:3" x14ac:dyDescent="0.35">
      <c r="A187" s="2" t="s">
        <v>3</v>
      </c>
      <c r="B187" s="2">
        <v>8412</v>
      </c>
      <c r="C187" s="2" t="s">
        <v>1168</v>
      </c>
    </row>
    <row r="188" spans="1:3" x14ac:dyDescent="0.35">
      <c r="A188" s="2" t="s">
        <v>3</v>
      </c>
      <c r="B188" s="2">
        <v>8413</v>
      </c>
      <c r="C188" s="2" t="s">
        <v>1169</v>
      </c>
    </row>
    <row r="189" spans="1:3" x14ac:dyDescent="0.35">
      <c r="A189" s="2" t="s">
        <v>3</v>
      </c>
      <c r="B189" s="2">
        <v>8414</v>
      </c>
      <c r="C189" s="2" t="s">
        <v>1170</v>
      </c>
    </row>
    <row r="190" spans="1:3" x14ac:dyDescent="0.35">
      <c r="A190" s="2" t="s">
        <v>3</v>
      </c>
      <c r="B190" s="2">
        <v>8415</v>
      </c>
      <c r="C190" s="2" t="s">
        <v>1171</v>
      </c>
    </row>
    <row r="191" spans="1:3" x14ac:dyDescent="0.35">
      <c r="A191" s="2" t="s">
        <v>3</v>
      </c>
      <c r="B191" s="2">
        <v>8416</v>
      </c>
      <c r="C191" s="2" t="s">
        <v>1172</v>
      </c>
    </row>
    <row r="192" spans="1:3" x14ac:dyDescent="0.35">
      <c r="A192" s="2" t="s">
        <v>3</v>
      </c>
      <c r="B192" s="2">
        <v>8417</v>
      </c>
      <c r="C192" s="2" t="s">
        <v>1173</v>
      </c>
    </row>
    <row r="193" spans="1:3" x14ac:dyDescent="0.35">
      <c r="A193" s="2" t="s">
        <v>3</v>
      </c>
      <c r="B193" s="2">
        <v>8418</v>
      </c>
      <c r="C193" s="2" t="s">
        <v>1174</v>
      </c>
    </row>
    <row r="194" spans="1:3" x14ac:dyDescent="0.35">
      <c r="A194" s="2" t="s">
        <v>3</v>
      </c>
      <c r="B194" s="2">
        <v>8419</v>
      </c>
      <c r="C194" s="2" t="s">
        <v>1175</v>
      </c>
    </row>
    <row r="195" spans="1:3" x14ac:dyDescent="0.35">
      <c r="A195" s="2" t="s">
        <v>3</v>
      </c>
      <c r="B195" s="2">
        <v>8420</v>
      </c>
      <c r="C195" s="2" t="s">
        <v>1176</v>
      </c>
    </row>
    <row r="196" spans="1:3" x14ac:dyDescent="0.35">
      <c r="A196" s="2" t="s">
        <v>3</v>
      </c>
      <c r="B196" s="2">
        <v>8421</v>
      </c>
      <c r="C196" s="2" t="s">
        <v>1177</v>
      </c>
    </row>
    <row r="197" spans="1:3" x14ac:dyDescent="0.35">
      <c r="A197" s="2" t="s">
        <v>3</v>
      </c>
      <c r="B197" s="2">
        <v>9101</v>
      </c>
      <c r="C197" s="2" t="s">
        <v>1178</v>
      </c>
    </row>
    <row r="198" spans="1:3" x14ac:dyDescent="0.35">
      <c r="A198" s="2" t="s">
        <v>3</v>
      </c>
      <c r="B198" s="2">
        <v>9102</v>
      </c>
      <c r="C198" s="2" t="s">
        <v>1179</v>
      </c>
    </row>
    <row r="199" spans="1:3" x14ac:dyDescent="0.35">
      <c r="A199" s="2" t="s">
        <v>3</v>
      </c>
      <c r="B199" s="2">
        <v>9103</v>
      </c>
      <c r="C199" s="2" t="s">
        <v>1180</v>
      </c>
    </row>
    <row r="200" spans="1:3" x14ac:dyDescent="0.35">
      <c r="A200" s="2" t="s">
        <v>3</v>
      </c>
      <c r="B200" s="2">
        <v>9104</v>
      </c>
      <c r="C200" s="2" t="s">
        <v>1181</v>
      </c>
    </row>
    <row r="201" spans="1:3" x14ac:dyDescent="0.35">
      <c r="A201" s="2" t="s">
        <v>3</v>
      </c>
      <c r="B201" s="2">
        <v>9105</v>
      </c>
      <c r="C201" s="2" t="s">
        <v>1182</v>
      </c>
    </row>
    <row r="202" spans="1:3" x14ac:dyDescent="0.35">
      <c r="A202" s="2" t="s">
        <v>3</v>
      </c>
      <c r="B202" s="2">
        <v>9106</v>
      </c>
      <c r="C202" s="2" t="s">
        <v>1183</v>
      </c>
    </row>
    <row r="203" spans="1:3" x14ac:dyDescent="0.35">
      <c r="A203" s="2" t="s">
        <v>3</v>
      </c>
      <c r="B203" s="2">
        <v>9107</v>
      </c>
      <c r="C203" s="2" t="s">
        <v>1184</v>
      </c>
    </row>
    <row r="204" spans="1:3" x14ac:dyDescent="0.35">
      <c r="A204" s="2" t="s">
        <v>3</v>
      </c>
      <c r="B204" s="2">
        <v>9108</v>
      </c>
      <c r="C204" s="2" t="s">
        <v>1185</v>
      </c>
    </row>
    <row r="205" spans="1:3" x14ac:dyDescent="0.35">
      <c r="A205" s="2" t="s">
        <v>3</v>
      </c>
      <c r="B205" s="2">
        <v>9109</v>
      </c>
      <c r="C205" s="2" t="s">
        <v>1186</v>
      </c>
    </row>
    <row r="206" spans="1:3" x14ac:dyDescent="0.35">
      <c r="A206" s="2" t="s">
        <v>3</v>
      </c>
      <c r="B206" s="2">
        <v>9110</v>
      </c>
      <c r="C206" s="2" t="s">
        <v>1187</v>
      </c>
    </row>
    <row r="207" spans="1:3" x14ac:dyDescent="0.35">
      <c r="A207" s="2" t="s">
        <v>3</v>
      </c>
      <c r="B207" s="2">
        <v>9111</v>
      </c>
      <c r="C207" s="2" t="s">
        <v>1188</v>
      </c>
    </row>
    <row r="208" spans="1:3" x14ac:dyDescent="0.35">
      <c r="A208" s="2" t="s">
        <v>3</v>
      </c>
      <c r="B208" s="2">
        <v>9112</v>
      </c>
      <c r="C208" s="2" t="s">
        <v>1189</v>
      </c>
    </row>
    <row r="209" spans="1:3" x14ac:dyDescent="0.35">
      <c r="A209" s="2" t="s">
        <v>3</v>
      </c>
      <c r="B209" s="2">
        <v>9113</v>
      </c>
      <c r="C209" s="2" t="s">
        <v>1190</v>
      </c>
    </row>
    <row r="210" spans="1:3" x14ac:dyDescent="0.35">
      <c r="A210" s="2" t="s">
        <v>3</v>
      </c>
      <c r="B210" s="2">
        <v>9114</v>
      </c>
      <c r="C210" s="2" t="s">
        <v>1191</v>
      </c>
    </row>
    <row r="211" spans="1:3" x14ac:dyDescent="0.35">
      <c r="A211" s="2" t="s">
        <v>3</v>
      </c>
      <c r="B211" s="2">
        <v>9115</v>
      </c>
      <c r="C211" s="2" t="s">
        <v>1192</v>
      </c>
    </row>
    <row r="212" spans="1:3" x14ac:dyDescent="0.35">
      <c r="A212" s="2" t="s">
        <v>3</v>
      </c>
      <c r="B212" s="2">
        <v>9116</v>
      </c>
      <c r="C212" s="2" t="s">
        <v>1193</v>
      </c>
    </row>
    <row r="213" spans="1:3" x14ac:dyDescent="0.35">
      <c r="A213" s="2" t="s">
        <v>3</v>
      </c>
      <c r="B213" s="2">
        <v>9117</v>
      </c>
      <c r="C213" s="2" t="s">
        <v>1194</v>
      </c>
    </row>
    <row r="214" spans="1:3" x14ac:dyDescent="0.35">
      <c r="A214" s="2" t="s">
        <v>3</v>
      </c>
      <c r="B214" s="2">
        <v>9118</v>
      </c>
      <c r="C214" s="2" t="s">
        <v>1195</v>
      </c>
    </row>
    <row r="215" spans="1:3" x14ac:dyDescent="0.35">
      <c r="A215" s="2" t="s">
        <v>3</v>
      </c>
      <c r="B215" s="2">
        <v>9119</v>
      </c>
      <c r="C215" s="2" t="s">
        <v>1196</v>
      </c>
    </row>
    <row r="216" spans="1:3" x14ac:dyDescent="0.35">
      <c r="A216" s="2" t="s">
        <v>3</v>
      </c>
      <c r="B216" s="2">
        <v>9120</v>
      </c>
      <c r="C216" s="2" t="s">
        <v>1197</v>
      </c>
    </row>
    <row r="217" spans="1:3" x14ac:dyDescent="0.35">
      <c r="A217" s="2" t="s">
        <v>3</v>
      </c>
      <c r="B217" s="2">
        <v>9121</v>
      </c>
      <c r="C217" s="2" t="s">
        <v>1198</v>
      </c>
    </row>
    <row r="218" spans="1:3" x14ac:dyDescent="0.35">
      <c r="A218" s="2" t="s">
        <v>3</v>
      </c>
      <c r="B218" s="2">
        <v>9201</v>
      </c>
      <c r="C218" s="2" t="s">
        <v>1199</v>
      </c>
    </row>
    <row r="219" spans="1:3" x14ac:dyDescent="0.35">
      <c r="A219" s="2" t="s">
        <v>3</v>
      </c>
      <c r="B219" s="2">
        <v>9202</v>
      </c>
      <c r="C219" s="2" t="s">
        <v>1200</v>
      </c>
    </row>
    <row r="220" spans="1:3" x14ac:dyDescent="0.35">
      <c r="A220" s="2" t="s">
        <v>3</v>
      </c>
      <c r="B220" s="2">
        <v>9203</v>
      </c>
      <c r="C220" s="2" t="s">
        <v>1201</v>
      </c>
    </row>
    <row r="221" spans="1:3" x14ac:dyDescent="0.35">
      <c r="A221" s="2" t="s">
        <v>3</v>
      </c>
      <c r="B221" s="2">
        <v>9204</v>
      </c>
      <c r="C221" s="2" t="s">
        <v>1202</v>
      </c>
    </row>
    <row r="222" spans="1:3" x14ac:dyDescent="0.35">
      <c r="A222" s="2" t="s">
        <v>3</v>
      </c>
      <c r="B222" s="2">
        <v>9205</v>
      </c>
      <c r="C222" s="2" t="s">
        <v>1203</v>
      </c>
    </row>
    <row r="223" spans="1:3" x14ac:dyDescent="0.35">
      <c r="A223" s="2" t="s">
        <v>3</v>
      </c>
      <c r="B223" s="2">
        <v>9206</v>
      </c>
      <c r="C223" s="2" t="s">
        <v>1204</v>
      </c>
    </row>
    <row r="224" spans="1:3" x14ac:dyDescent="0.35">
      <c r="A224" s="2" t="s">
        <v>3</v>
      </c>
      <c r="B224" s="2">
        <v>9207</v>
      </c>
      <c r="C224" s="2" t="s">
        <v>1205</v>
      </c>
    </row>
    <row r="225" spans="1:3" x14ac:dyDescent="0.35">
      <c r="A225" s="2" t="s">
        <v>3</v>
      </c>
      <c r="B225" s="2">
        <v>9208</v>
      </c>
      <c r="C225" s="2" t="s">
        <v>1206</v>
      </c>
    </row>
    <row r="226" spans="1:3" x14ac:dyDescent="0.35">
      <c r="A226" s="2" t="s">
        <v>3</v>
      </c>
      <c r="B226" s="2">
        <v>9209</v>
      </c>
      <c r="C226" s="2" t="s">
        <v>1207</v>
      </c>
    </row>
    <row r="227" spans="1:3" x14ac:dyDescent="0.35">
      <c r="A227" s="2" t="s">
        <v>3</v>
      </c>
      <c r="B227" s="2">
        <v>9210</v>
      </c>
      <c r="C227" s="2" t="s">
        <v>1208</v>
      </c>
    </row>
    <row r="228" spans="1:3" x14ac:dyDescent="0.35">
      <c r="A228" s="2" t="s">
        <v>3</v>
      </c>
      <c r="B228" s="2">
        <v>9211</v>
      </c>
      <c r="C228" s="2" t="s">
        <v>1209</v>
      </c>
    </row>
    <row r="229" spans="1:3" x14ac:dyDescent="0.35">
      <c r="A229" s="2" t="s">
        <v>3</v>
      </c>
      <c r="B229" s="2">
        <v>10101</v>
      </c>
      <c r="C229" s="2" t="s">
        <v>1210</v>
      </c>
    </row>
    <row r="230" spans="1:3" x14ac:dyDescent="0.35">
      <c r="A230" s="2" t="s">
        <v>3</v>
      </c>
      <c r="B230" s="2">
        <v>10102</v>
      </c>
      <c r="C230" s="2" t="s">
        <v>1211</v>
      </c>
    </row>
    <row r="231" spans="1:3" x14ac:dyDescent="0.35">
      <c r="A231" s="2" t="s">
        <v>3</v>
      </c>
      <c r="B231" s="2">
        <v>10103</v>
      </c>
      <c r="C231" s="2" t="s">
        <v>1212</v>
      </c>
    </row>
    <row r="232" spans="1:3" x14ac:dyDescent="0.35">
      <c r="A232" s="2" t="s">
        <v>3</v>
      </c>
      <c r="B232" s="2">
        <v>10104</v>
      </c>
      <c r="C232" s="2" t="s">
        <v>1213</v>
      </c>
    </row>
    <row r="233" spans="1:3" x14ac:dyDescent="0.35">
      <c r="A233" s="2" t="s">
        <v>3</v>
      </c>
      <c r="B233" s="2">
        <v>10105</v>
      </c>
      <c r="C233" s="2" t="s">
        <v>1214</v>
      </c>
    </row>
    <row r="234" spans="1:3" x14ac:dyDescent="0.35">
      <c r="A234" s="2" t="s">
        <v>3</v>
      </c>
      <c r="B234" s="2">
        <v>10106</v>
      </c>
      <c r="C234" s="2" t="s">
        <v>1215</v>
      </c>
    </row>
    <row r="235" spans="1:3" x14ac:dyDescent="0.35">
      <c r="A235" s="2" t="s">
        <v>3</v>
      </c>
      <c r="B235" s="2">
        <v>10107</v>
      </c>
      <c r="C235" s="2" t="s">
        <v>1216</v>
      </c>
    </row>
    <row r="236" spans="1:3" x14ac:dyDescent="0.35">
      <c r="A236" s="2" t="s">
        <v>3</v>
      </c>
      <c r="B236" s="2">
        <v>10108</v>
      </c>
      <c r="C236" s="2" t="s">
        <v>1217</v>
      </c>
    </row>
    <row r="237" spans="1:3" x14ac:dyDescent="0.35">
      <c r="A237" s="2" t="s">
        <v>3</v>
      </c>
      <c r="B237" s="2">
        <v>10109</v>
      </c>
      <c r="C237" s="2" t="s">
        <v>1218</v>
      </c>
    </row>
    <row r="238" spans="1:3" x14ac:dyDescent="0.35">
      <c r="A238" s="2" t="s">
        <v>3</v>
      </c>
      <c r="B238" s="2">
        <v>10201</v>
      </c>
      <c r="C238" s="2" t="s">
        <v>1219</v>
      </c>
    </row>
    <row r="239" spans="1:3" x14ac:dyDescent="0.35">
      <c r="A239" s="2" t="s">
        <v>3</v>
      </c>
      <c r="B239" s="2">
        <v>10202</v>
      </c>
      <c r="C239" s="2" t="s">
        <v>1220</v>
      </c>
    </row>
    <row r="240" spans="1:3" x14ac:dyDescent="0.35">
      <c r="A240" s="2" t="s">
        <v>3</v>
      </c>
      <c r="B240" s="2">
        <v>10203</v>
      </c>
      <c r="C240" s="2" t="s">
        <v>1221</v>
      </c>
    </row>
    <row r="241" spans="1:3" x14ac:dyDescent="0.35">
      <c r="A241" s="2" t="s">
        <v>3</v>
      </c>
      <c r="B241" s="2">
        <v>10204</v>
      </c>
      <c r="C241" s="2" t="s">
        <v>1222</v>
      </c>
    </row>
    <row r="242" spans="1:3" x14ac:dyDescent="0.35">
      <c r="A242" s="2" t="s">
        <v>3</v>
      </c>
      <c r="B242" s="2">
        <v>10205</v>
      </c>
      <c r="C242" s="2" t="s">
        <v>1223</v>
      </c>
    </row>
    <row r="243" spans="1:3" x14ac:dyDescent="0.35">
      <c r="A243" s="2" t="s">
        <v>3</v>
      </c>
      <c r="B243" s="2">
        <v>10206</v>
      </c>
      <c r="C243" s="2" t="s">
        <v>1224</v>
      </c>
    </row>
    <row r="244" spans="1:3" x14ac:dyDescent="0.35">
      <c r="A244" s="2" t="s">
        <v>3</v>
      </c>
      <c r="B244" s="2">
        <v>10207</v>
      </c>
      <c r="C244" s="2" t="s">
        <v>1225</v>
      </c>
    </row>
    <row r="245" spans="1:3" x14ac:dyDescent="0.35">
      <c r="A245" s="2" t="s">
        <v>3</v>
      </c>
      <c r="B245" s="2">
        <v>10208</v>
      </c>
      <c r="C245" s="2" t="s">
        <v>1226</v>
      </c>
    </row>
    <row r="246" spans="1:3" x14ac:dyDescent="0.35">
      <c r="A246" s="2" t="s">
        <v>3</v>
      </c>
      <c r="B246" s="2">
        <v>10209</v>
      </c>
      <c r="C246" s="2" t="s">
        <v>1227</v>
      </c>
    </row>
    <row r="247" spans="1:3" x14ac:dyDescent="0.35">
      <c r="A247" s="2" t="s">
        <v>3</v>
      </c>
      <c r="B247" s="2">
        <v>10210</v>
      </c>
      <c r="C247" s="2" t="s">
        <v>1228</v>
      </c>
    </row>
    <row r="248" spans="1:3" x14ac:dyDescent="0.35">
      <c r="A248" s="2" t="s">
        <v>3</v>
      </c>
      <c r="B248" s="2">
        <v>10301</v>
      </c>
      <c r="C248" s="2" t="s">
        <v>1229</v>
      </c>
    </row>
    <row r="249" spans="1:3" x14ac:dyDescent="0.35">
      <c r="A249" s="2" t="s">
        <v>3</v>
      </c>
      <c r="B249" s="2">
        <v>10302</v>
      </c>
      <c r="C249" s="2" t="s">
        <v>1230</v>
      </c>
    </row>
    <row r="250" spans="1:3" x14ac:dyDescent="0.35">
      <c r="A250" s="2" t="s">
        <v>3</v>
      </c>
      <c r="B250" s="2">
        <v>10303</v>
      </c>
      <c r="C250" s="2" t="s">
        <v>1231</v>
      </c>
    </row>
    <row r="251" spans="1:3" x14ac:dyDescent="0.35">
      <c r="A251" s="2" t="s">
        <v>3</v>
      </c>
      <c r="B251" s="2">
        <v>10304</v>
      </c>
      <c r="C251" s="2" t="s">
        <v>1232</v>
      </c>
    </row>
    <row r="252" spans="1:3" x14ac:dyDescent="0.35">
      <c r="A252" s="2" t="s">
        <v>3</v>
      </c>
      <c r="B252" s="2">
        <v>10305</v>
      </c>
      <c r="C252" s="2" t="s">
        <v>1233</v>
      </c>
    </row>
    <row r="253" spans="1:3" x14ac:dyDescent="0.35">
      <c r="A253" s="2" t="s">
        <v>3</v>
      </c>
      <c r="B253" s="2">
        <v>10306</v>
      </c>
      <c r="C253" s="2" t="s">
        <v>1234</v>
      </c>
    </row>
    <row r="254" spans="1:3" x14ac:dyDescent="0.35">
      <c r="A254" s="2" t="s">
        <v>3</v>
      </c>
      <c r="B254" s="2">
        <v>10307</v>
      </c>
      <c r="C254" s="2" t="s">
        <v>1235</v>
      </c>
    </row>
    <row r="255" spans="1:3" x14ac:dyDescent="0.35">
      <c r="A255" s="2" t="s">
        <v>3</v>
      </c>
      <c r="B255" s="2">
        <v>10401</v>
      </c>
      <c r="C255" s="2" t="s">
        <v>1236</v>
      </c>
    </row>
    <row r="256" spans="1:3" x14ac:dyDescent="0.35">
      <c r="A256" s="2" t="s">
        <v>3</v>
      </c>
      <c r="B256" s="2">
        <v>10402</v>
      </c>
      <c r="C256" s="2" t="s">
        <v>1237</v>
      </c>
    </row>
    <row r="257" spans="1:3" x14ac:dyDescent="0.35">
      <c r="A257" s="2" t="s">
        <v>3</v>
      </c>
      <c r="B257" s="2">
        <v>10403</v>
      </c>
      <c r="C257" s="2" t="s">
        <v>1238</v>
      </c>
    </row>
    <row r="258" spans="1:3" x14ac:dyDescent="0.35">
      <c r="A258" s="2" t="s">
        <v>3</v>
      </c>
      <c r="B258" s="2">
        <v>10404</v>
      </c>
      <c r="C258" s="2" t="s">
        <v>1239</v>
      </c>
    </row>
    <row r="259" spans="1:3" x14ac:dyDescent="0.35">
      <c r="A259" s="2" t="s">
        <v>3</v>
      </c>
      <c r="B259" s="2">
        <v>11101</v>
      </c>
      <c r="C259" s="2" t="s">
        <v>1240</v>
      </c>
    </row>
    <row r="260" spans="1:3" x14ac:dyDescent="0.35">
      <c r="A260" s="2" t="s">
        <v>3</v>
      </c>
      <c r="B260" s="2">
        <v>11102</v>
      </c>
      <c r="C260" s="2" t="s">
        <v>1241</v>
      </c>
    </row>
    <row r="261" spans="1:3" x14ac:dyDescent="0.35">
      <c r="A261" s="2" t="s">
        <v>3</v>
      </c>
      <c r="B261" s="2">
        <v>11201</v>
      </c>
      <c r="C261" s="2" t="s">
        <v>1242</v>
      </c>
    </row>
    <row r="262" spans="1:3" x14ac:dyDescent="0.35">
      <c r="A262" s="2" t="s">
        <v>3</v>
      </c>
      <c r="B262" s="2">
        <v>11202</v>
      </c>
      <c r="C262" s="2" t="s">
        <v>1243</v>
      </c>
    </row>
    <row r="263" spans="1:3" x14ac:dyDescent="0.35">
      <c r="A263" s="2" t="s">
        <v>3</v>
      </c>
      <c r="B263" s="2">
        <v>11203</v>
      </c>
      <c r="C263" s="2" t="s">
        <v>1244</v>
      </c>
    </row>
    <row r="264" spans="1:3" x14ac:dyDescent="0.35">
      <c r="A264" s="2" t="s">
        <v>3</v>
      </c>
      <c r="B264" s="2">
        <v>11301</v>
      </c>
      <c r="C264" s="2" t="s">
        <v>1245</v>
      </c>
    </row>
    <row r="265" spans="1:3" x14ac:dyDescent="0.35">
      <c r="A265" s="2" t="s">
        <v>3</v>
      </c>
      <c r="B265" s="2">
        <v>11302</v>
      </c>
      <c r="C265" s="2" t="s">
        <v>1246</v>
      </c>
    </row>
    <row r="266" spans="1:3" x14ac:dyDescent="0.35">
      <c r="A266" s="2" t="s">
        <v>3</v>
      </c>
      <c r="B266" s="2">
        <v>11303</v>
      </c>
      <c r="C266" s="2" t="s">
        <v>1247</v>
      </c>
    </row>
    <row r="267" spans="1:3" x14ac:dyDescent="0.35">
      <c r="A267" s="2" t="s">
        <v>3</v>
      </c>
      <c r="B267" s="2">
        <v>11401</v>
      </c>
      <c r="C267" s="2" t="s">
        <v>1248</v>
      </c>
    </row>
    <row r="268" spans="1:3" x14ac:dyDescent="0.35">
      <c r="A268" s="2" t="s">
        <v>3</v>
      </c>
      <c r="B268" s="2">
        <v>11402</v>
      </c>
      <c r="C268" s="2" t="s">
        <v>1249</v>
      </c>
    </row>
    <row r="269" spans="1:3" x14ac:dyDescent="0.35">
      <c r="A269" s="2" t="s">
        <v>3</v>
      </c>
      <c r="B269" s="2">
        <v>12101</v>
      </c>
      <c r="C269" s="2" t="s">
        <v>1250</v>
      </c>
    </row>
    <row r="270" spans="1:3" x14ac:dyDescent="0.35">
      <c r="A270" s="2" t="s">
        <v>3</v>
      </c>
      <c r="B270" s="2">
        <v>12102</v>
      </c>
      <c r="C270" s="2" t="s">
        <v>1251</v>
      </c>
    </row>
    <row r="271" spans="1:3" x14ac:dyDescent="0.35">
      <c r="A271" s="2" t="s">
        <v>3</v>
      </c>
      <c r="B271" s="2">
        <v>12103</v>
      </c>
      <c r="C271" s="2" t="s">
        <v>1252</v>
      </c>
    </row>
    <row r="272" spans="1:3" x14ac:dyDescent="0.35">
      <c r="A272" s="2" t="s">
        <v>3</v>
      </c>
      <c r="B272" s="2">
        <v>12104</v>
      </c>
      <c r="C272" s="2" t="s">
        <v>1253</v>
      </c>
    </row>
    <row r="273" spans="1:3" x14ac:dyDescent="0.35">
      <c r="A273" s="2" t="s">
        <v>3</v>
      </c>
      <c r="B273" s="2">
        <v>12201</v>
      </c>
      <c r="C273" s="2" t="s">
        <v>1254</v>
      </c>
    </row>
    <row r="274" spans="1:3" x14ac:dyDescent="0.35">
      <c r="A274" s="2" t="s">
        <v>3</v>
      </c>
      <c r="B274" s="2">
        <v>12202</v>
      </c>
      <c r="C274" s="2" t="s">
        <v>1255</v>
      </c>
    </row>
    <row r="275" spans="1:3" x14ac:dyDescent="0.35">
      <c r="A275" s="2" t="s">
        <v>3</v>
      </c>
      <c r="B275" s="2">
        <v>12301</v>
      </c>
      <c r="C275" s="2" t="s">
        <v>1256</v>
      </c>
    </row>
    <row r="276" spans="1:3" x14ac:dyDescent="0.35">
      <c r="A276" s="2" t="s">
        <v>3</v>
      </c>
      <c r="B276" s="2">
        <v>12302</v>
      </c>
      <c r="C276" s="2" t="s">
        <v>1257</v>
      </c>
    </row>
    <row r="277" spans="1:3" x14ac:dyDescent="0.35">
      <c r="A277" s="2" t="s">
        <v>3</v>
      </c>
      <c r="B277" s="2">
        <v>12303</v>
      </c>
      <c r="C277" s="2" t="s">
        <v>1258</v>
      </c>
    </row>
    <row r="278" spans="1:3" x14ac:dyDescent="0.35">
      <c r="A278" s="2" t="s">
        <v>3</v>
      </c>
      <c r="B278" s="2">
        <v>12401</v>
      </c>
      <c r="C278" s="2" t="s">
        <v>1259</v>
      </c>
    </row>
    <row r="279" spans="1:3" x14ac:dyDescent="0.35">
      <c r="A279" s="2" t="s">
        <v>3</v>
      </c>
      <c r="B279" s="2">
        <v>12402</v>
      </c>
      <c r="C279" s="2" t="s">
        <v>1260</v>
      </c>
    </row>
    <row r="280" spans="1:3" x14ac:dyDescent="0.35">
      <c r="A280" s="2" t="s">
        <v>3</v>
      </c>
      <c r="B280" s="2">
        <v>13101</v>
      </c>
      <c r="C280" s="2" t="s">
        <v>1261</v>
      </c>
    </row>
    <row r="281" spans="1:3" x14ac:dyDescent="0.35">
      <c r="A281" s="2" t="s">
        <v>3</v>
      </c>
      <c r="B281" s="2">
        <v>13102</v>
      </c>
      <c r="C281" s="2" t="s">
        <v>1262</v>
      </c>
    </row>
    <row r="282" spans="1:3" x14ac:dyDescent="0.35">
      <c r="A282" s="2" t="s">
        <v>3</v>
      </c>
      <c r="B282" s="2">
        <v>13103</v>
      </c>
      <c r="C282" s="2" t="s">
        <v>1263</v>
      </c>
    </row>
    <row r="283" spans="1:3" x14ac:dyDescent="0.35">
      <c r="A283" s="2" t="s">
        <v>3</v>
      </c>
      <c r="B283" s="2">
        <v>13104</v>
      </c>
      <c r="C283" s="2" t="s">
        <v>1264</v>
      </c>
    </row>
    <row r="284" spans="1:3" x14ac:dyDescent="0.35">
      <c r="A284" s="2" t="s">
        <v>3</v>
      </c>
      <c r="B284" s="2">
        <v>13105</v>
      </c>
      <c r="C284" s="2" t="s">
        <v>1265</v>
      </c>
    </row>
    <row r="285" spans="1:3" x14ac:dyDescent="0.35">
      <c r="A285" s="2" t="s">
        <v>3</v>
      </c>
      <c r="B285" s="2">
        <v>13106</v>
      </c>
      <c r="C285" s="2" t="s">
        <v>1266</v>
      </c>
    </row>
    <row r="286" spans="1:3" x14ac:dyDescent="0.35">
      <c r="A286" s="2" t="s">
        <v>3</v>
      </c>
      <c r="B286" s="2">
        <v>13107</v>
      </c>
      <c r="C286" s="2" t="s">
        <v>1267</v>
      </c>
    </row>
    <row r="287" spans="1:3" x14ac:dyDescent="0.35">
      <c r="A287" s="2" t="s">
        <v>3</v>
      </c>
      <c r="B287" s="2">
        <v>13108</v>
      </c>
      <c r="C287" s="2" t="s">
        <v>1268</v>
      </c>
    </row>
    <row r="288" spans="1:3" x14ac:dyDescent="0.35">
      <c r="A288" s="2" t="s">
        <v>3</v>
      </c>
      <c r="B288" s="2">
        <v>13109</v>
      </c>
      <c r="C288" s="2" t="s">
        <v>1269</v>
      </c>
    </row>
    <row r="289" spans="1:3" x14ac:dyDescent="0.35">
      <c r="A289" s="2" t="s">
        <v>3</v>
      </c>
      <c r="B289" s="2">
        <v>13110</v>
      </c>
      <c r="C289" s="2" t="s">
        <v>1270</v>
      </c>
    </row>
    <row r="290" spans="1:3" x14ac:dyDescent="0.35">
      <c r="A290" s="2" t="s">
        <v>3</v>
      </c>
      <c r="B290" s="2">
        <v>13111</v>
      </c>
      <c r="C290" s="2" t="s">
        <v>1271</v>
      </c>
    </row>
    <row r="291" spans="1:3" x14ac:dyDescent="0.35">
      <c r="A291" s="2" t="s">
        <v>3</v>
      </c>
      <c r="B291" s="2">
        <v>13112</v>
      </c>
      <c r="C291" s="2" t="s">
        <v>1272</v>
      </c>
    </row>
    <row r="292" spans="1:3" x14ac:dyDescent="0.35">
      <c r="A292" s="2" t="s">
        <v>3</v>
      </c>
      <c r="B292" s="2">
        <v>13113</v>
      </c>
      <c r="C292" s="2" t="s">
        <v>1273</v>
      </c>
    </row>
    <row r="293" spans="1:3" x14ac:dyDescent="0.35">
      <c r="A293" s="2" t="s">
        <v>3</v>
      </c>
      <c r="B293" s="2">
        <v>13114</v>
      </c>
      <c r="C293" s="2" t="s">
        <v>1274</v>
      </c>
    </row>
    <row r="294" spans="1:3" x14ac:dyDescent="0.35">
      <c r="A294" s="2" t="s">
        <v>3</v>
      </c>
      <c r="B294" s="2">
        <v>13115</v>
      </c>
      <c r="C294" s="2" t="s">
        <v>1275</v>
      </c>
    </row>
    <row r="295" spans="1:3" x14ac:dyDescent="0.35">
      <c r="A295" s="2" t="s">
        <v>3</v>
      </c>
      <c r="B295" s="2">
        <v>13116</v>
      </c>
      <c r="C295" s="2" t="s">
        <v>1276</v>
      </c>
    </row>
    <row r="296" spans="1:3" x14ac:dyDescent="0.35">
      <c r="A296" s="2" t="s">
        <v>3</v>
      </c>
      <c r="B296" s="2">
        <v>13117</v>
      </c>
      <c r="C296" s="2" t="s">
        <v>1277</v>
      </c>
    </row>
    <row r="297" spans="1:3" x14ac:dyDescent="0.35">
      <c r="A297" s="2" t="s">
        <v>3</v>
      </c>
      <c r="B297" s="2">
        <v>13118</v>
      </c>
      <c r="C297" s="2" t="s">
        <v>1278</v>
      </c>
    </row>
    <row r="298" spans="1:3" x14ac:dyDescent="0.35">
      <c r="A298" s="2" t="s">
        <v>3</v>
      </c>
      <c r="B298" s="2">
        <v>13119</v>
      </c>
      <c r="C298" s="2" t="s">
        <v>1279</v>
      </c>
    </row>
    <row r="299" spans="1:3" x14ac:dyDescent="0.35">
      <c r="A299" s="2" t="s">
        <v>3</v>
      </c>
      <c r="B299" s="2">
        <v>13121</v>
      </c>
      <c r="C299" s="2" t="s">
        <v>1280</v>
      </c>
    </row>
    <row r="300" spans="1:3" x14ac:dyDescent="0.35">
      <c r="A300" s="2" t="s">
        <v>3</v>
      </c>
      <c r="B300" s="2">
        <v>13122</v>
      </c>
      <c r="C300" s="2" t="s">
        <v>1281</v>
      </c>
    </row>
    <row r="301" spans="1:3" x14ac:dyDescent="0.35">
      <c r="A301" s="2" t="s">
        <v>3</v>
      </c>
      <c r="B301" s="2">
        <v>13123</v>
      </c>
      <c r="C301" s="2" t="s">
        <v>1282</v>
      </c>
    </row>
    <row r="302" spans="1:3" x14ac:dyDescent="0.35">
      <c r="A302" s="2" t="s">
        <v>3</v>
      </c>
      <c r="B302" s="2">
        <v>13124</v>
      </c>
      <c r="C302" s="2" t="s">
        <v>1283</v>
      </c>
    </row>
    <row r="303" spans="1:3" x14ac:dyDescent="0.35">
      <c r="A303" s="2" t="s">
        <v>3</v>
      </c>
      <c r="B303" s="2">
        <v>13125</v>
      </c>
      <c r="C303" s="2" t="s">
        <v>1284</v>
      </c>
    </row>
    <row r="304" spans="1:3" x14ac:dyDescent="0.35">
      <c r="A304" s="2" t="s">
        <v>3</v>
      </c>
      <c r="B304" s="2">
        <v>13126</v>
      </c>
      <c r="C304" s="2" t="s">
        <v>1285</v>
      </c>
    </row>
    <row r="305" spans="1:3" x14ac:dyDescent="0.35">
      <c r="A305" s="2" t="s">
        <v>3</v>
      </c>
      <c r="B305" s="2">
        <v>13127</v>
      </c>
      <c r="C305" s="2" t="s">
        <v>1286</v>
      </c>
    </row>
    <row r="306" spans="1:3" x14ac:dyDescent="0.35">
      <c r="A306" s="2" t="s">
        <v>3</v>
      </c>
      <c r="B306" s="2">
        <v>13128</v>
      </c>
      <c r="C306" s="2" t="s">
        <v>1287</v>
      </c>
    </row>
    <row r="307" spans="1:3" x14ac:dyDescent="0.35">
      <c r="A307" s="2" t="s">
        <v>3</v>
      </c>
      <c r="B307" s="2">
        <v>13129</v>
      </c>
      <c r="C307" s="2" t="s">
        <v>1288</v>
      </c>
    </row>
    <row r="308" spans="1:3" x14ac:dyDescent="0.35">
      <c r="A308" s="2" t="s">
        <v>3</v>
      </c>
      <c r="B308" s="2">
        <v>13130</v>
      </c>
      <c r="C308" s="2" t="s">
        <v>1289</v>
      </c>
    </row>
    <row r="309" spans="1:3" x14ac:dyDescent="0.35">
      <c r="A309" s="2" t="s">
        <v>3</v>
      </c>
      <c r="B309" s="2">
        <v>13131</v>
      </c>
      <c r="C309" s="2" t="s">
        <v>1290</v>
      </c>
    </row>
    <row r="310" spans="1:3" x14ac:dyDescent="0.35">
      <c r="A310" s="2" t="s">
        <v>3</v>
      </c>
      <c r="B310" s="2">
        <v>13132</v>
      </c>
      <c r="C310" s="2" t="s">
        <v>1291</v>
      </c>
    </row>
    <row r="311" spans="1:3" x14ac:dyDescent="0.35">
      <c r="A311" s="2" t="s">
        <v>3</v>
      </c>
      <c r="B311" s="2">
        <v>13201</v>
      </c>
      <c r="C311" s="2" t="s">
        <v>1292</v>
      </c>
    </row>
    <row r="312" spans="1:3" x14ac:dyDescent="0.35">
      <c r="A312" s="2" t="s">
        <v>3</v>
      </c>
      <c r="B312" s="2">
        <v>13202</v>
      </c>
      <c r="C312" s="2" t="s">
        <v>1293</v>
      </c>
    </row>
    <row r="313" spans="1:3" x14ac:dyDescent="0.35">
      <c r="A313" s="2" t="s">
        <v>3</v>
      </c>
      <c r="B313" s="2">
        <v>13203</v>
      </c>
      <c r="C313" s="2" t="s">
        <v>1294</v>
      </c>
    </row>
    <row r="314" spans="1:3" x14ac:dyDescent="0.35">
      <c r="A314" s="2" t="s">
        <v>3</v>
      </c>
      <c r="B314" s="2">
        <v>13301</v>
      </c>
      <c r="C314" s="2" t="s">
        <v>1295</v>
      </c>
    </row>
    <row r="315" spans="1:3" x14ac:dyDescent="0.35">
      <c r="A315" s="2" t="s">
        <v>3</v>
      </c>
      <c r="B315" s="2">
        <v>13302</v>
      </c>
      <c r="C315" s="2" t="s">
        <v>1296</v>
      </c>
    </row>
    <row r="316" spans="1:3" x14ac:dyDescent="0.35">
      <c r="A316" s="2" t="s">
        <v>3</v>
      </c>
      <c r="B316" s="2">
        <v>13303</v>
      </c>
      <c r="C316" s="2" t="s">
        <v>1297</v>
      </c>
    </row>
    <row r="317" spans="1:3" x14ac:dyDescent="0.35">
      <c r="A317" s="2" t="s">
        <v>3</v>
      </c>
      <c r="B317" s="2">
        <v>13401</v>
      </c>
      <c r="C317" s="2" t="s">
        <v>1298</v>
      </c>
    </row>
    <row r="318" spans="1:3" x14ac:dyDescent="0.35">
      <c r="A318" s="2" t="s">
        <v>3</v>
      </c>
      <c r="B318" s="2">
        <v>13402</v>
      </c>
      <c r="C318" s="2" t="s">
        <v>1299</v>
      </c>
    </row>
    <row r="319" spans="1:3" x14ac:dyDescent="0.35">
      <c r="A319" s="2" t="s">
        <v>3</v>
      </c>
      <c r="B319" s="2">
        <v>13403</v>
      </c>
      <c r="C319" s="2" t="s">
        <v>1300</v>
      </c>
    </row>
    <row r="320" spans="1:3" x14ac:dyDescent="0.35">
      <c r="A320" s="2" t="s">
        <v>3</v>
      </c>
      <c r="B320" s="2">
        <v>13404</v>
      </c>
      <c r="C320" s="2" t="s">
        <v>1301</v>
      </c>
    </row>
    <row r="321" spans="1:3" x14ac:dyDescent="0.35">
      <c r="A321" s="2" t="s">
        <v>3</v>
      </c>
      <c r="B321" s="2">
        <v>13501</v>
      </c>
      <c r="C321" s="2" t="s">
        <v>1302</v>
      </c>
    </row>
    <row r="322" spans="1:3" x14ac:dyDescent="0.35">
      <c r="A322" s="2" t="s">
        <v>3</v>
      </c>
      <c r="B322" s="2">
        <v>13502</v>
      </c>
      <c r="C322" s="2" t="s">
        <v>1303</v>
      </c>
    </row>
    <row r="323" spans="1:3" x14ac:dyDescent="0.35">
      <c r="A323" s="2" t="s">
        <v>3</v>
      </c>
      <c r="B323" s="2">
        <v>13503</v>
      </c>
      <c r="C323" s="2" t="s">
        <v>1304</v>
      </c>
    </row>
    <row r="324" spans="1:3" x14ac:dyDescent="0.35">
      <c r="A324" s="2" t="s">
        <v>3</v>
      </c>
      <c r="B324" s="2">
        <v>13504</v>
      </c>
      <c r="C324" s="2" t="s">
        <v>1305</v>
      </c>
    </row>
    <row r="325" spans="1:3" x14ac:dyDescent="0.35">
      <c r="A325" s="2" t="s">
        <v>3</v>
      </c>
      <c r="B325" s="2">
        <v>13505</v>
      </c>
      <c r="C325" s="2" t="s">
        <v>1306</v>
      </c>
    </row>
    <row r="326" spans="1:3" x14ac:dyDescent="0.35">
      <c r="A326" s="2" t="s">
        <v>3</v>
      </c>
      <c r="B326" s="2">
        <v>13601</v>
      </c>
      <c r="C326" s="2" t="s">
        <v>1307</v>
      </c>
    </row>
    <row r="327" spans="1:3" x14ac:dyDescent="0.35">
      <c r="A327" s="2" t="s">
        <v>3</v>
      </c>
      <c r="B327" s="2">
        <v>13602</v>
      </c>
      <c r="C327" s="2" t="s">
        <v>1308</v>
      </c>
    </row>
    <row r="328" spans="1:3" x14ac:dyDescent="0.35">
      <c r="A328" s="2" t="s">
        <v>3</v>
      </c>
      <c r="B328" s="2">
        <v>13603</v>
      </c>
      <c r="C328" s="2" t="s">
        <v>1309</v>
      </c>
    </row>
    <row r="329" spans="1:3" x14ac:dyDescent="0.35">
      <c r="A329" s="2" t="s">
        <v>3</v>
      </c>
      <c r="B329" s="2">
        <v>13604</v>
      </c>
      <c r="C329" s="2" t="s">
        <v>1310</v>
      </c>
    </row>
    <row r="330" spans="1:3" x14ac:dyDescent="0.35">
      <c r="A330" s="2" t="s">
        <v>3</v>
      </c>
      <c r="B330" s="2">
        <v>13605</v>
      </c>
      <c r="C330" s="2" t="s">
        <v>1311</v>
      </c>
    </row>
    <row r="331" spans="1:3" x14ac:dyDescent="0.35">
      <c r="A331" s="2" t="s">
        <v>3</v>
      </c>
      <c r="B331" s="2">
        <v>14101</v>
      </c>
      <c r="C331" s="2" t="s">
        <v>1312</v>
      </c>
    </row>
    <row r="332" spans="1:3" x14ac:dyDescent="0.35">
      <c r="A332" s="2" t="s">
        <v>3</v>
      </c>
      <c r="B332" s="2">
        <v>14102</v>
      </c>
      <c r="C332" s="2" t="s">
        <v>1313</v>
      </c>
    </row>
    <row r="333" spans="1:3" x14ac:dyDescent="0.35">
      <c r="A333" s="2" t="s">
        <v>3</v>
      </c>
      <c r="B333" s="2">
        <v>14103</v>
      </c>
      <c r="C333" s="2" t="s">
        <v>1314</v>
      </c>
    </row>
    <row r="334" spans="1:3" x14ac:dyDescent="0.35">
      <c r="A334" s="2" t="s">
        <v>3</v>
      </c>
      <c r="B334" s="2">
        <v>14104</v>
      </c>
      <c r="C334" s="2" t="s">
        <v>1315</v>
      </c>
    </row>
    <row r="335" spans="1:3" x14ac:dyDescent="0.35">
      <c r="A335" s="2" t="s">
        <v>3</v>
      </c>
      <c r="B335" s="2">
        <v>14105</v>
      </c>
      <c r="C335" s="2" t="s">
        <v>1316</v>
      </c>
    </row>
    <row r="336" spans="1:3" x14ac:dyDescent="0.35">
      <c r="A336" s="2" t="s">
        <v>3</v>
      </c>
      <c r="B336" s="2">
        <v>14106</v>
      </c>
      <c r="C336" s="2" t="s">
        <v>1317</v>
      </c>
    </row>
    <row r="337" spans="1:3" x14ac:dyDescent="0.35">
      <c r="A337" s="2" t="s">
        <v>3</v>
      </c>
      <c r="B337" s="2">
        <v>14107</v>
      </c>
      <c r="C337" s="2" t="s">
        <v>1318</v>
      </c>
    </row>
    <row r="338" spans="1:3" x14ac:dyDescent="0.35">
      <c r="A338" s="2" t="s">
        <v>3</v>
      </c>
      <c r="B338" s="2">
        <v>14108</v>
      </c>
      <c r="C338" s="2" t="s">
        <v>1319</v>
      </c>
    </row>
    <row r="339" spans="1:3" x14ac:dyDescent="0.35">
      <c r="A339" s="2" t="s">
        <v>3</v>
      </c>
      <c r="B339" s="2">
        <v>14201</v>
      </c>
      <c r="C339" s="2" t="s">
        <v>1320</v>
      </c>
    </row>
    <row r="340" spans="1:3" x14ac:dyDescent="0.35">
      <c r="A340" s="2" t="s">
        <v>3</v>
      </c>
      <c r="B340" s="2">
        <v>14202</v>
      </c>
      <c r="C340" s="2" t="s">
        <v>1321</v>
      </c>
    </row>
    <row r="341" spans="1:3" x14ac:dyDescent="0.35">
      <c r="A341" s="2" t="s">
        <v>3</v>
      </c>
      <c r="B341" s="2">
        <v>14203</v>
      </c>
      <c r="C341" s="2" t="s">
        <v>1322</v>
      </c>
    </row>
    <row r="342" spans="1:3" x14ac:dyDescent="0.35">
      <c r="A342" s="2" t="s">
        <v>3</v>
      </c>
      <c r="B342" s="2">
        <v>14204</v>
      </c>
      <c r="C342" s="2" t="s">
        <v>1323</v>
      </c>
    </row>
    <row r="343" spans="1:3" x14ac:dyDescent="0.35">
      <c r="A343" s="2" t="s">
        <v>3</v>
      </c>
      <c r="B343" s="2">
        <v>15101</v>
      </c>
      <c r="C343" s="2" t="s">
        <v>1324</v>
      </c>
    </row>
    <row r="344" spans="1:3" x14ac:dyDescent="0.35">
      <c r="A344" s="2" t="s">
        <v>3</v>
      </c>
      <c r="B344" s="2">
        <v>15102</v>
      </c>
      <c r="C344" s="2" t="s">
        <v>1325</v>
      </c>
    </row>
    <row r="345" spans="1:3" x14ac:dyDescent="0.35">
      <c r="A345" s="2" t="s">
        <v>3</v>
      </c>
      <c r="B345" s="2">
        <v>15201</v>
      </c>
      <c r="C345" s="2" t="s">
        <v>1326</v>
      </c>
    </row>
    <row r="346" spans="1:3" x14ac:dyDescent="0.35">
      <c r="A346" s="2" t="s">
        <v>3</v>
      </c>
      <c r="B346" s="2">
        <v>15202</v>
      </c>
      <c r="C346" s="2" t="s">
        <v>1327</v>
      </c>
    </row>
    <row r="347" spans="1:3" x14ac:dyDescent="0.35">
      <c r="A347" s="2" t="s">
        <v>64</v>
      </c>
      <c r="B347" s="2">
        <v>1101</v>
      </c>
      <c r="C347" s="2" t="s">
        <v>983</v>
      </c>
    </row>
    <row r="348" spans="1:3" x14ac:dyDescent="0.35">
      <c r="A348" s="2" t="s">
        <v>64</v>
      </c>
      <c r="B348" s="2">
        <v>1107</v>
      </c>
      <c r="C348" s="2" t="s">
        <v>984</v>
      </c>
    </row>
    <row r="349" spans="1:3" x14ac:dyDescent="0.35">
      <c r="A349" s="2" t="s">
        <v>64</v>
      </c>
      <c r="B349" s="2">
        <v>1401</v>
      </c>
      <c r="C349" s="2" t="s">
        <v>985</v>
      </c>
    </row>
    <row r="350" spans="1:3" x14ac:dyDescent="0.35">
      <c r="A350" s="2" t="s">
        <v>64</v>
      </c>
      <c r="B350" s="2">
        <v>1402</v>
      </c>
      <c r="C350" s="2" t="s">
        <v>986</v>
      </c>
    </row>
    <row r="351" spans="1:3" x14ac:dyDescent="0.35">
      <c r="A351" s="2" t="s">
        <v>64</v>
      </c>
      <c r="B351" s="2">
        <v>1403</v>
      </c>
      <c r="C351" s="2" t="s">
        <v>987</v>
      </c>
    </row>
    <row r="352" spans="1:3" x14ac:dyDescent="0.35">
      <c r="A352" s="2" t="s">
        <v>64</v>
      </c>
      <c r="B352" s="2">
        <v>1404</v>
      </c>
      <c r="C352" s="2" t="s">
        <v>988</v>
      </c>
    </row>
    <row r="353" spans="1:3" x14ac:dyDescent="0.35">
      <c r="A353" s="2" t="s">
        <v>64</v>
      </c>
      <c r="B353" s="2">
        <v>1405</v>
      </c>
      <c r="C353" s="2" t="s">
        <v>989</v>
      </c>
    </row>
    <row r="354" spans="1:3" x14ac:dyDescent="0.35">
      <c r="A354" s="2" t="s">
        <v>64</v>
      </c>
      <c r="B354" s="2">
        <v>2101</v>
      </c>
      <c r="C354" s="2" t="s">
        <v>990</v>
      </c>
    </row>
    <row r="355" spans="1:3" x14ac:dyDescent="0.35">
      <c r="A355" s="2" t="s">
        <v>64</v>
      </c>
      <c r="B355" s="2">
        <v>2102</v>
      </c>
      <c r="C355" s="2" t="s">
        <v>991</v>
      </c>
    </row>
    <row r="356" spans="1:3" x14ac:dyDescent="0.35">
      <c r="A356" s="2" t="s">
        <v>64</v>
      </c>
      <c r="B356" s="2">
        <v>2103</v>
      </c>
      <c r="C356" s="2" t="s">
        <v>992</v>
      </c>
    </row>
    <row r="357" spans="1:3" x14ac:dyDescent="0.35">
      <c r="A357" s="2" t="s">
        <v>64</v>
      </c>
      <c r="B357" s="2">
        <v>2104</v>
      </c>
      <c r="C357" s="2" t="s">
        <v>993</v>
      </c>
    </row>
    <row r="358" spans="1:3" x14ac:dyDescent="0.35">
      <c r="A358" s="2" t="s">
        <v>64</v>
      </c>
      <c r="B358" s="2">
        <v>2201</v>
      </c>
      <c r="C358" s="2" t="s">
        <v>994</v>
      </c>
    </row>
    <row r="359" spans="1:3" x14ac:dyDescent="0.35">
      <c r="A359" s="2" t="s">
        <v>64</v>
      </c>
      <c r="B359" s="2">
        <v>2202</v>
      </c>
      <c r="C359" s="2" t="s">
        <v>995</v>
      </c>
    </row>
    <row r="360" spans="1:3" x14ac:dyDescent="0.35">
      <c r="A360" s="2" t="s">
        <v>64</v>
      </c>
      <c r="B360" s="2">
        <v>2203</v>
      </c>
      <c r="C360" s="2" t="s">
        <v>996</v>
      </c>
    </row>
    <row r="361" spans="1:3" x14ac:dyDescent="0.35">
      <c r="A361" s="2" t="s">
        <v>64</v>
      </c>
      <c r="B361" s="2">
        <v>2301</v>
      </c>
      <c r="C361" s="2" t="s">
        <v>997</v>
      </c>
    </row>
    <row r="362" spans="1:3" x14ac:dyDescent="0.35">
      <c r="A362" s="2" t="s">
        <v>64</v>
      </c>
      <c r="B362" s="2">
        <v>2302</v>
      </c>
      <c r="C362" s="2" t="s">
        <v>998</v>
      </c>
    </row>
    <row r="363" spans="1:3" x14ac:dyDescent="0.35">
      <c r="A363" s="2" t="s">
        <v>64</v>
      </c>
      <c r="B363" s="2">
        <v>3101</v>
      </c>
      <c r="C363" s="2" t="s">
        <v>999</v>
      </c>
    </row>
    <row r="364" spans="1:3" x14ac:dyDescent="0.35">
      <c r="A364" s="2" t="s">
        <v>64</v>
      </c>
      <c r="B364" s="2">
        <v>3102</v>
      </c>
      <c r="C364" s="2" t="s">
        <v>1000</v>
      </c>
    </row>
    <row r="365" spans="1:3" x14ac:dyDescent="0.35">
      <c r="A365" s="2" t="s">
        <v>64</v>
      </c>
      <c r="B365" s="2">
        <v>3103</v>
      </c>
      <c r="C365" s="2" t="s">
        <v>1001</v>
      </c>
    </row>
    <row r="366" spans="1:3" x14ac:dyDescent="0.35">
      <c r="A366" s="2" t="s">
        <v>64</v>
      </c>
      <c r="B366" s="2">
        <v>3201</v>
      </c>
      <c r="C366" s="2" t="s">
        <v>1002</v>
      </c>
    </row>
    <row r="367" spans="1:3" x14ac:dyDescent="0.35">
      <c r="A367" s="2" t="s">
        <v>64</v>
      </c>
      <c r="B367" s="2">
        <v>3202</v>
      </c>
      <c r="C367" s="2" t="s">
        <v>1003</v>
      </c>
    </row>
    <row r="368" spans="1:3" x14ac:dyDescent="0.35">
      <c r="A368" s="2" t="s">
        <v>64</v>
      </c>
      <c r="B368" s="2">
        <v>3301</v>
      </c>
      <c r="C368" s="2" t="s">
        <v>1004</v>
      </c>
    </row>
    <row r="369" spans="1:3" x14ac:dyDescent="0.35">
      <c r="A369" s="2" t="s">
        <v>64</v>
      </c>
      <c r="B369" s="2">
        <v>3302</v>
      </c>
      <c r="C369" s="2" t="s">
        <v>1005</v>
      </c>
    </row>
    <row r="370" spans="1:3" x14ac:dyDescent="0.35">
      <c r="A370" s="2" t="s">
        <v>64</v>
      </c>
      <c r="B370" s="2">
        <v>3303</v>
      </c>
      <c r="C370" s="2" t="s">
        <v>1006</v>
      </c>
    </row>
    <row r="371" spans="1:3" x14ac:dyDescent="0.35">
      <c r="A371" s="2" t="s">
        <v>64</v>
      </c>
      <c r="B371" s="2">
        <v>3304</v>
      </c>
      <c r="C371" s="2" t="s">
        <v>1007</v>
      </c>
    </row>
    <row r="372" spans="1:3" x14ac:dyDescent="0.35">
      <c r="A372" s="2" t="s">
        <v>64</v>
      </c>
      <c r="B372" s="2">
        <v>4101</v>
      </c>
      <c r="C372" s="2" t="s">
        <v>1008</v>
      </c>
    </row>
    <row r="373" spans="1:3" x14ac:dyDescent="0.35">
      <c r="A373" s="2" t="s">
        <v>64</v>
      </c>
      <c r="B373" s="2">
        <v>4102</v>
      </c>
      <c r="C373" s="2" t="s">
        <v>1009</v>
      </c>
    </row>
    <row r="374" spans="1:3" x14ac:dyDescent="0.35">
      <c r="A374" s="2" t="s">
        <v>64</v>
      </c>
      <c r="B374" s="2">
        <v>4103</v>
      </c>
      <c r="C374" s="2" t="s">
        <v>1010</v>
      </c>
    </row>
    <row r="375" spans="1:3" x14ac:dyDescent="0.35">
      <c r="A375" s="2" t="s">
        <v>64</v>
      </c>
      <c r="B375" s="2">
        <v>4104</v>
      </c>
      <c r="C375" s="2" t="s">
        <v>1011</v>
      </c>
    </row>
    <row r="376" spans="1:3" x14ac:dyDescent="0.35">
      <c r="A376" s="2" t="s">
        <v>64</v>
      </c>
      <c r="B376" s="2">
        <v>4105</v>
      </c>
      <c r="C376" s="2" t="s">
        <v>1012</v>
      </c>
    </row>
    <row r="377" spans="1:3" x14ac:dyDescent="0.35">
      <c r="A377" s="2" t="s">
        <v>64</v>
      </c>
      <c r="B377" s="2">
        <v>4106</v>
      </c>
      <c r="C377" s="2" t="s">
        <v>1013</v>
      </c>
    </row>
    <row r="378" spans="1:3" x14ac:dyDescent="0.35">
      <c r="A378" s="2" t="s">
        <v>64</v>
      </c>
      <c r="B378" s="2">
        <v>4201</v>
      </c>
      <c r="C378" s="2" t="s">
        <v>1014</v>
      </c>
    </row>
    <row r="379" spans="1:3" x14ac:dyDescent="0.35">
      <c r="A379" s="2" t="s">
        <v>64</v>
      </c>
      <c r="B379" s="2">
        <v>4202</v>
      </c>
      <c r="C379" s="2" t="s">
        <v>1015</v>
      </c>
    </row>
    <row r="380" spans="1:3" x14ac:dyDescent="0.35">
      <c r="A380" s="2" t="s">
        <v>64</v>
      </c>
      <c r="B380" s="2">
        <v>4203</v>
      </c>
      <c r="C380" s="2" t="s">
        <v>1016</v>
      </c>
    </row>
    <row r="381" spans="1:3" x14ac:dyDescent="0.35">
      <c r="A381" s="2" t="s">
        <v>64</v>
      </c>
      <c r="B381" s="2">
        <v>4204</v>
      </c>
      <c r="C381" s="2" t="s">
        <v>1017</v>
      </c>
    </row>
    <row r="382" spans="1:3" x14ac:dyDescent="0.35">
      <c r="A382" s="2" t="s">
        <v>64</v>
      </c>
      <c r="B382" s="2">
        <v>4301</v>
      </c>
      <c r="C382" s="2" t="s">
        <v>1018</v>
      </c>
    </row>
    <row r="383" spans="1:3" x14ac:dyDescent="0.35">
      <c r="A383" s="2" t="s">
        <v>64</v>
      </c>
      <c r="B383" s="2">
        <v>4302</v>
      </c>
      <c r="C383" s="2" t="s">
        <v>1019</v>
      </c>
    </row>
    <row r="384" spans="1:3" x14ac:dyDescent="0.35">
      <c r="A384" s="2" t="s">
        <v>64</v>
      </c>
      <c r="B384" s="2">
        <v>4303</v>
      </c>
      <c r="C384" s="2" t="s">
        <v>1020</v>
      </c>
    </row>
    <row r="385" spans="1:3" x14ac:dyDescent="0.35">
      <c r="A385" s="2" t="s">
        <v>64</v>
      </c>
      <c r="B385" s="2">
        <v>4304</v>
      </c>
      <c r="C385" s="2" t="s">
        <v>1021</v>
      </c>
    </row>
    <row r="386" spans="1:3" x14ac:dyDescent="0.35">
      <c r="A386" s="2" t="s">
        <v>64</v>
      </c>
      <c r="B386" s="2">
        <v>4305</v>
      </c>
      <c r="C386" s="2" t="s">
        <v>1022</v>
      </c>
    </row>
    <row r="387" spans="1:3" x14ac:dyDescent="0.35">
      <c r="A387" s="2" t="s">
        <v>64</v>
      </c>
      <c r="B387" s="2">
        <v>5101</v>
      </c>
      <c r="C387" s="2" t="s">
        <v>1023</v>
      </c>
    </row>
    <row r="388" spans="1:3" x14ac:dyDescent="0.35">
      <c r="A388" s="2" t="s">
        <v>64</v>
      </c>
      <c r="B388" s="2">
        <v>5102</v>
      </c>
      <c r="C388" s="2" t="s">
        <v>1024</v>
      </c>
    </row>
    <row r="389" spans="1:3" x14ac:dyDescent="0.35">
      <c r="A389" s="2" t="s">
        <v>64</v>
      </c>
      <c r="B389" s="2">
        <v>5103</v>
      </c>
      <c r="C389" s="2" t="s">
        <v>1025</v>
      </c>
    </row>
    <row r="390" spans="1:3" x14ac:dyDescent="0.35">
      <c r="A390" s="2" t="s">
        <v>64</v>
      </c>
      <c r="B390" s="2">
        <v>5104</v>
      </c>
      <c r="C390" s="2" t="s">
        <v>1026</v>
      </c>
    </row>
    <row r="391" spans="1:3" x14ac:dyDescent="0.35">
      <c r="A391" s="2" t="s">
        <v>64</v>
      </c>
      <c r="B391" s="2">
        <v>5105</v>
      </c>
      <c r="C391" s="2" t="s">
        <v>1027</v>
      </c>
    </row>
    <row r="392" spans="1:3" x14ac:dyDescent="0.35">
      <c r="A392" s="2" t="s">
        <v>64</v>
      </c>
      <c r="B392" s="2">
        <v>5107</v>
      </c>
      <c r="C392" s="2" t="s">
        <v>1028</v>
      </c>
    </row>
    <row r="393" spans="1:3" x14ac:dyDescent="0.35">
      <c r="A393" s="2" t="s">
        <v>64</v>
      </c>
      <c r="B393" s="2">
        <v>5109</v>
      </c>
      <c r="C393" s="2" t="s">
        <v>1029</v>
      </c>
    </row>
    <row r="394" spans="1:3" x14ac:dyDescent="0.35">
      <c r="A394" s="2" t="s">
        <v>64</v>
      </c>
      <c r="B394" s="2">
        <v>5201</v>
      </c>
      <c r="C394" s="2" t="s">
        <v>1030</v>
      </c>
    </row>
    <row r="395" spans="1:3" x14ac:dyDescent="0.35">
      <c r="A395" s="2" t="s">
        <v>64</v>
      </c>
      <c r="B395" s="2">
        <v>5301</v>
      </c>
      <c r="C395" s="2" t="s">
        <v>1031</v>
      </c>
    </row>
    <row r="396" spans="1:3" x14ac:dyDescent="0.35">
      <c r="A396" s="2" t="s">
        <v>64</v>
      </c>
      <c r="B396" s="2">
        <v>5302</v>
      </c>
      <c r="C396" s="2" t="s">
        <v>1032</v>
      </c>
    </row>
    <row r="397" spans="1:3" x14ac:dyDescent="0.35">
      <c r="A397" s="2" t="s">
        <v>64</v>
      </c>
      <c r="B397" s="2">
        <v>5303</v>
      </c>
      <c r="C397" s="2" t="s">
        <v>1033</v>
      </c>
    </row>
    <row r="398" spans="1:3" x14ac:dyDescent="0.35">
      <c r="A398" s="2" t="s">
        <v>64</v>
      </c>
      <c r="B398" s="2">
        <v>5304</v>
      </c>
      <c r="C398" s="2" t="s">
        <v>1034</v>
      </c>
    </row>
    <row r="399" spans="1:3" x14ac:dyDescent="0.35">
      <c r="A399" s="2" t="s">
        <v>64</v>
      </c>
      <c r="B399" s="2">
        <v>5401</v>
      </c>
      <c r="C399" s="2" t="s">
        <v>1035</v>
      </c>
    </row>
    <row r="400" spans="1:3" x14ac:dyDescent="0.35">
      <c r="A400" s="2" t="s">
        <v>64</v>
      </c>
      <c r="B400" s="2">
        <v>5402</v>
      </c>
      <c r="C400" s="2" t="s">
        <v>1036</v>
      </c>
    </row>
    <row r="401" spans="1:3" x14ac:dyDescent="0.35">
      <c r="A401" s="2" t="s">
        <v>64</v>
      </c>
      <c r="B401" s="2">
        <v>5403</v>
      </c>
      <c r="C401" s="2" t="s">
        <v>1037</v>
      </c>
    </row>
    <row r="402" spans="1:3" x14ac:dyDescent="0.35">
      <c r="A402" s="2" t="s">
        <v>64</v>
      </c>
      <c r="B402" s="2">
        <v>5404</v>
      </c>
      <c r="C402" s="2" t="s">
        <v>1038</v>
      </c>
    </row>
    <row r="403" spans="1:3" x14ac:dyDescent="0.35">
      <c r="A403" s="2" t="s">
        <v>64</v>
      </c>
      <c r="B403" s="2">
        <v>5405</v>
      </c>
      <c r="C403" s="2" t="s">
        <v>1039</v>
      </c>
    </row>
    <row r="404" spans="1:3" x14ac:dyDescent="0.35">
      <c r="A404" s="2" t="s">
        <v>64</v>
      </c>
      <c r="B404" s="2">
        <v>5501</v>
      </c>
      <c r="C404" s="2" t="s">
        <v>1040</v>
      </c>
    </row>
    <row r="405" spans="1:3" x14ac:dyDescent="0.35">
      <c r="A405" s="2" t="s">
        <v>64</v>
      </c>
      <c r="B405" s="2">
        <v>5502</v>
      </c>
      <c r="C405" s="2" t="s">
        <v>1041</v>
      </c>
    </row>
    <row r="406" spans="1:3" x14ac:dyDescent="0.35">
      <c r="A406" s="2" t="s">
        <v>64</v>
      </c>
      <c r="B406" s="2">
        <v>5503</v>
      </c>
      <c r="C406" s="2" t="s">
        <v>1042</v>
      </c>
    </row>
    <row r="407" spans="1:3" x14ac:dyDescent="0.35">
      <c r="A407" s="2" t="s">
        <v>64</v>
      </c>
      <c r="B407" s="2">
        <v>5504</v>
      </c>
      <c r="C407" s="2" t="s">
        <v>1043</v>
      </c>
    </row>
    <row r="408" spans="1:3" x14ac:dyDescent="0.35">
      <c r="A408" s="2" t="s">
        <v>64</v>
      </c>
      <c r="B408" s="2">
        <v>5506</v>
      </c>
      <c r="C408" s="2" t="s">
        <v>1044</v>
      </c>
    </row>
    <row r="409" spans="1:3" x14ac:dyDescent="0.35">
      <c r="A409" s="2" t="s">
        <v>64</v>
      </c>
      <c r="B409" s="2">
        <v>5601</v>
      </c>
      <c r="C409" s="2" t="s">
        <v>1045</v>
      </c>
    </row>
    <row r="410" spans="1:3" x14ac:dyDescent="0.35">
      <c r="A410" s="2" t="s">
        <v>64</v>
      </c>
      <c r="B410" s="2">
        <v>5602</v>
      </c>
      <c r="C410" s="2" t="s">
        <v>1046</v>
      </c>
    </row>
    <row r="411" spans="1:3" x14ac:dyDescent="0.35">
      <c r="A411" s="2" t="s">
        <v>64</v>
      </c>
      <c r="B411" s="2">
        <v>5603</v>
      </c>
      <c r="C411" s="2" t="s">
        <v>1047</v>
      </c>
    </row>
    <row r="412" spans="1:3" x14ac:dyDescent="0.35">
      <c r="A412" s="2" t="s">
        <v>64</v>
      </c>
      <c r="B412" s="2">
        <v>5604</v>
      </c>
      <c r="C412" s="2" t="s">
        <v>1048</v>
      </c>
    </row>
    <row r="413" spans="1:3" x14ac:dyDescent="0.35">
      <c r="A413" s="2" t="s">
        <v>64</v>
      </c>
      <c r="B413" s="2">
        <v>5605</v>
      </c>
      <c r="C413" s="2" t="s">
        <v>1049</v>
      </c>
    </row>
    <row r="414" spans="1:3" x14ac:dyDescent="0.35">
      <c r="A414" s="2" t="s">
        <v>64</v>
      </c>
      <c r="B414" s="2">
        <v>5606</v>
      </c>
      <c r="C414" s="2" t="s">
        <v>1050</v>
      </c>
    </row>
    <row r="415" spans="1:3" x14ac:dyDescent="0.35">
      <c r="A415" s="2" t="s">
        <v>64</v>
      </c>
      <c r="B415" s="2">
        <v>5701</v>
      </c>
      <c r="C415" s="2" t="s">
        <v>1051</v>
      </c>
    </row>
    <row r="416" spans="1:3" x14ac:dyDescent="0.35">
      <c r="A416" s="2" t="s">
        <v>64</v>
      </c>
      <c r="B416" s="2">
        <v>5702</v>
      </c>
      <c r="C416" s="2" t="s">
        <v>1052</v>
      </c>
    </row>
    <row r="417" spans="1:3" x14ac:dyDescent="0.35">
      <c r="A417" s="2" t="s">
        <v>64</v>
      </c>
      <c r="B417" s="2">
        <v>5703</v>
      </c>
      <c r="C417" s="2" t="s">
        <v>1053</v>
      </c>
    </row>
    <row r="418" spans="1:3" x14ac:dyDescent="0.35">
      <c r="A418" s="2" t="s">
        <v>64</v>
      </c>
      <c r="B418" s="2">
        <v>5704</v>
      </c>
      <c r="C418" s="2" t="s">
        <v>1054</v>
      </c>
    </row>
    <row r="419" spans="1:3" x14ac:dyDescent="0.35">
      <c r="A419" s="2" t="s">
        <v>64</v>
      </c>
      <c r="B419" s="2">
        <v>5705</v>
      </c>
      <c r="C419" s="2" t="s">
        <v>1055</v>
      </c>
    </row>
    <row r="420" spans="1:3" x14ac:dyDescent="0.35">
      <c r="A420" s="2" t="s">
        <v>64</v>
      </c>
      <c r="B420" s="2">
        <v>5706</v>
      </c>
      <c r="C420" s="2" t="s">
        <v>1056</v>
      </c>
    </row>
    <row r="421" spans="1:3" x14ac:dyDescent="0.35">
      <c r="A421" s="2" t="s">
        <v>64</v>
      </c>
      <c r="B421" s="2">
        <v>5801</v>
      </c>
      <c r="C421" s="2" t="s">
        <v>1057</v>
      </c>
    </row>
    <row r="422" spans="1:3" x14ac:dyDescent="0.35">
      <c r="A422" s="2" t="s">
        <v>64</v>
      </c>
      <c r="B422" s="2">
        <v>5802</v>
      </c>
      <c r="C422" s="2" t="s">
        <v>1058</v>
      </c>
    </row>
    <row r="423" spans="1:3" x14ac:dyDescent="0.35">
      <c r="A423" s="2" t="s">
        <v>64</v>
      </c>
      <c r="B423" s="2">
        <v>5803</v>
      </c>
      <c r="C423" s="2" t="s">
        <v>1059</v>
      </c>
    </row>
    <row r="424" spans="1:3" x14ac:dyDescent="0.35">
      <c r="A424" s="2" t="s">
        <v>64</v>
      </c>
      <c r="B424" s="2">
        <v>5804</v>
      </c>
      <c r="C424" s="2" t="s">
        <v>1060</v>
      </c>
    </row>
    <row r="425" spans="1:3" x14ac:dyDescent="0.35">
      <c r="A425" s="2" t="s">
        <v>64</v>
      </c>
      <c r="B425" s="2">
        <v>6101</v>
      </c>
      <c r="C425" s="2" t="s">
        <v>1061</v>
      </c>
    </row>
    <row r="426" spans="1:3" x14ac:dyDescent="0.35">
      <c r="A426" s="2" t="s">
        <v>64</v>
      </c>
      <c r="B426" s="2">
        <v>6102</v>
      </c>
      <c r="C426" s="2" t="s">
        <v>1062</v>
      </c>
    </row>
    <row r="427" spans="1:3" x14ac:dyDescent="0.35">
      <c r="A427" s="2" t="s">
        <v>64</v>
      </c>
      <c r="B427" s="2">
        <v>6103</v>
      </c>
      <c r="C427" s="2" t="s">
        <v>1063</v>
      </c>
    </row>
    <row r="428" spans="1:3" x14ac:dyDescent="0.35">
      <c r="A428" s="2" t="s">
        <v>64</v>
      </c>
      <c r="B428" s="2">
        <v>6104</v>
      </c>
      <c r="C428" s="2" t="s">
        <v>1064</v>
      </c>
    </row>
    <row r="429" spans="1:3" x14ac:dyDescent="0.35">
      <c r="A429" s="2" t="s">
        <v>64</v>
      </c>
      <c r="B429" s="2">
        <v>6105</v>
      </c>
      <c r="C429" s="2" t="s">
        <v>1065</v>
      </c>
    </row>
    <row r="430" spans="1:3" x14ac:dyDescent="0.35">
      <c r="A430" s="2" t="s">
        <v>64</v>
      </c>
      <c r="B430" s="2">
        <v>6106</v>
      </c>
      <c r="C430" s="2" t="s">
        <v>1066</v>
      </c>
    </row>
    <row r="431" spans="1:3" x14ac:dyDescent="0.35">
      <c r="A431" s="2" t="s">
        <v>64</v>
      </c>
      <c r="B431" s="2">
        <v>6107</v>
      </c>
      <c r="C431" s="2" t="s">
        <v>1067</v>
      </c>
    </row>
    <row r="432" spans="1:3" x14ac:dyDescent="0.35">
      <c r="A432" s="2" t="s">
        <v>64</v>
      </c>
      <c r="B432" s="2">
        <v>6108</v>
      </c>
      <c r="C432" s="2" t="s">
        <v>1068</v>
      </c>
    </row>
    <row r="433" spans="1:3" x14ac:dyDescent="0.35">
      <c r="A433" s="2" t="s">
        <v>64</v>
      </c>
      <c r="B433" s="2">
        <v>6109</v>
      </c>
      <c r="C433" s="2" t="s">
        <v>1069</v>
      </c>
    </row>
    <row r="434" spans="1:3" x14ac:dyDescent="0.35">
      <c r="A434" s="2" t="s">
        <v>64</v>
      </c>
      <c r="B434" s="2">
        <v>6110</v>
      </c>
      <c r="C434" s="2" t="s">
        <v>1070</v>
      </c>
    </row>
    <row r="435" spans="1:3" x14ac:dyDescent="0.35">
      <c r="A435" s="2" t="s">
        <v>64</v>
      </c>
      <c r="B435" s="2">
        <v>6111</v>
      </c>
      <c r="C435" s="2" t="s">
        <v>1071</v>
      </c>
    </row>
    <row r="436" spans="1:3" x14ac:dyDescent="0.35">
      <c r="A436" s="2" t="s">
        <v>64</v>
      </c>
      <c r="B436" s="2">
        <v>6112</v>
      </c>
      <c r="C436" s="2" t="s">
        <v>1072</v>
      </c>
    </row>
    <row r="437" spans="1:3" x14ac:dyDescent="0.35">
      <c r="A437" s="2" t="s">
        <v>64</v>
      </c>
      <c r="B437" s="2">
        <v>6113</v>
      </c>
      <c r="C437" s="2" t="s">
        <v>1073</v>
      </c>
    </row>
    <row r="438" spans="1:3" x14ac:dyDescent="0.35">
      <c r="A438" s="2" t="s">
        <v>64</v>
      </c>
      <c r="B438" s="2">
        <v>6114</v>
      </c>
      <c r="C438" s="2" t="s">
        <v>1074</v>
      </c>
    </row>
    <row r="439" spans="1:3" x14ac:dyDescent="0.35">
      <c r="A439" s="2" t="s">
        <v>64</v>
      </c>
      <c r="B439" s="2">
        <v>6115</v>
      </c>
      <c r="C439" s="2" t="s">
        <v>1075</v>
      </c>
    </row>
    <row r="440" spans="1:3" x14ac:dyDescent="0.35">
      <c r="A440" s="2" t="s">
        <v>64</v>
      </c>
      <c r="B440" s="2">
        <v>6116</v>
      </c>
      <c r="C440" s="2" t="s">
        <v>1076</v>
      </c>
    </row>
    <row r="441" spans="1:3" x14ac:dyDescent="0.35">
      <c r="A441" s="2" t="s">
        <v>64</v>
      </c>
      <c r="B441" s="2">
        <v>6117</v>
      </c>
      <c r="C441" s="2" t="s">
        <v>1077</v>
      </c>
    </row>
    <row r="442" spans="1:3" x14ac:dyDescent="0.35">
      <c r="A442" s="2" t="s">
        <v>64</v>
      </c>
      <c r="B442" s="2">
        <v>6201</v>
      </c>
      <c r="C442" s="2" t="s">
        <v>1078</v>
      </c>
    </row>
    <row r="443" spans="1:3" x14ac:dyDescent="0.35">
      <c r="A443" s="2" t="s">
        <v>64</v>
      </c>
      <c r="B443" s="2">
        <v>6202</v>
      </c>
      <c r="C443" s="2" t="s">
        <v>1079</v>
      </c>
    </row>
    <row r="444" spans="1:3" x14ac:dyDescent="0.35">
      <c r="A444" s="2" t="s">
        <v>64</v>
      </c>
      <c r="B444" s="2">
        <v>6203</v>
      </c>
      <c r="C444" s="2" t="s">
        <v>1080</v>
      </c>
    </row>
    <row r="445" spans="1:3" x14ac:dyDescent="0.35">
      <c r="A445" s="2" t="s">
        <v>64</v>
      </c>
      <c r="B445" s="2">
        <v>6204</v>
      </c>
      <c r="C445" s="2" t="s">
        <v>1081</v>
      </c>
    </row>
    <row r="446" spans="1:3" x14ac:dyDescent="0.35">
      <c r="A446" s="2" t="s">
        <v>64</v>
      </c>
      <c r="B446" s="2">
        <v>6205</v>
      </c>
      <c r="C446" s="2" t="s">
        <v>1082</v>
      </c>
    </row>
    <row r="447" spans="1:3" x14ac:dyDescent="0.35">
      <c r="A447" s="2" t="s">
        <v>64</v>
      </c>
      <c r="B447" s="2">
        <v>6206</v>
      </c>
      <c r="C447" s="2" t="s">
        <v>1083</v>
      </c>
    </row>
    <row r="448" spans="1:3" x14ac:dyDescent="0.35">
      <c r="A448" s="2" t="s">
        <v>64</v>
      </c>
      <c r="B448" s="2">
        <v>6301</v>
      </c>
      <c r="C448" s="2" t="s">
        <v>1084</v>
      </c>
    </row>
    <row r="449" spans="1:3" x14ac:dyDescent="0.35">
      <c r="A449" s="2" t="s">
        <v>64</v>
      </c>
      <c r="B449" s="2">
        <v>6302</v>
      </c>
      <c r="C449" s="2" t="s">
        <v>1085</v>
      </c>
    </row>
    <row r="450" spans="1:3" x14ac:dyDescent="0.35">
      <c r="A450" s="2" t="s">
        <v>64</v>
      </c>
      <c r="B450" s="2">
        <v>6303</v>
      </c>
      <c r="C450" s="2" t="s">
        <v>1086</v>
      </c>
    </row>
    <row r="451" spans="1:3" x14ac:dyDescent="0.35">
      <c r="A451" s="2" t="s">
        <v>64</v>
      </c>
      <c r="B451" s="2">
        <v>6304</v>
      </c>
      <c r="C451" s="2" t="s">
        <v>1087</v>
      </c>
    </row>
    <row r="452" spans="1:3" x14ac:dyDescent="0.35">
      <c r="A452" s="2" t="s">
        <v>64</v>
      </c>
      <c r="B452" s="2">
        <v>6305</v>
      </c>
      <c r="C452" s="2" t="s">
        <v>1088</v>
      </c>
    </row>
    <row r="453" spans="1:3" x14ac:dyDescent="0.35">
      <c r="A453" s="2" t="s">
        <v>64</v>
      </c>
      <c r="B453" s="2">
        <v>6306</v>
      </c>
      <c r="C453" s="2" t="s">
        <v>1089</v>
      </c>
    </row>
    <row r="454" spans="1:3" x14ac:dyDescent="0.35">
      <c r="A454" s="2" t="s">
        <v>64</v>
      </c>
      <c r="B454" s="2">
        <v>6307</v>
      </c>
      <c r="C454" s="2" t="s">
        <v>1090</v>
      </c>
    </row>
    <row r="455" spans="1:3" x14ac:dyDescent="0.35">
      <c r="A455" s="2" t="s">
        <v>64</v>
      </c>
      <c r="B455" s="2">
        <v>6308</v>
      </c>
      <c r="C455" s="2" t="s">
        <v>1091</v>
      </c>
    </row>
    <row r="456" spans="1:3" x14ac:dyDescent="0.35">
      <c r="A456" s="2" t="s">
        <v>64</v>
      </c>
      <c r="B456" s="2">
        <v>6309</v>
      </c>
      <c r="C456" s="2" t="s">
        <v>1092</v>
      </c>
    </row>
    <row r="457" spans="1:3" x14ac:dyDescent="0.35">
      <c r="A457" s="2" t="s">
        <v>64</v>
      </c>
      <c r="B457" s="2">
        <v>6310</v>
      </c>
      <c r="C457" s="2" t="s">
        <v>1093</v>
      </c>
    </row>
    <row r="458" spans="1:3" x14ac:dyDescent="0.35">
      <c r="A458" s="2" t="s">
        <v>64</v>
      </c>
      <c r="B458" s="2">
        <v>7101</v>
      </c>
      <c r="C458" s="2" t="s">
        <v>1094</v>
      </c>
    </row>
    <row r="459" spans="1:3" x14ac:dyDescent="0.35">
      <c r="A459" s="2" t="s">
        <v>64</v>
      </c>
      <c r="B459" s="2">
        <v>7102</v>
      </c>
      <c r="C459" s="2" t="s">
        <v>1095</v>
      </c>
    </row>
    <row r="460" spans="1:3" x14ac:dyDescent="0.35">
      <c r="A460" s="2" t="s">
        <v>64</v>
      </c>
      <c r="B460" s="2">
        <v>7103</v>
      </c>
      <c r="C460" s="2" t="s">
        <v>1096</v>
      </c>
    </row>
    <row r="461" spans="1:3" x14ac:dyDescent="0.35">
      <c r="A461" s="2" t="s">
        <v>64</v>
      </c>
      <c r="B461" s="2">
        <v>7104</v>
      </c>
      <c r="C461" s="2" t="s">
        <v>1097</v>
      </c>
    </row>
    <row r="462" spans="1:3" x14ac:dyDescent="0.35">
      <c r="A462" s="2" t="s">
        <v>64</v>
      </c>
      <c r="B462" s="2">
        <v>7105</v>
      </c>
      <c r="C462" s="2" t="s">
        <v>1098</v>
      </c>
    </row>
    <row r="463" spans="1:3" x14ac:dyDescent="0.35">
      <c r="A463" s="2" t="s">
        <v>64</v>
      </c>
      <c r="B463" s="2">
        <v>7106</v>
      </c>
      <c r="C463" s="2" t="s">
        <v>1099</v>
      </c>
    </row>
    <row r="464" spans="1:3" x14ac:dyDescent="0.35">
      <c r="A464" s="2" t="s">
        <v>64</v>
      </c>
      <c r="B464" s="2">
        <v>7107</v>
      </c>
      <c r="C464" s="2" t="s">
        <v>1100</v>
      </c>
    </row>
    <row r="465" spans="1:3" x14ac:dyDescent="0.35">
      <c r="A465" s="2" t="s">
        <v>64</v>
      </c>
      <c r="B465" s="2">
        <v>7108</v>
      </c>
      <c r="C465" s="2" t="s">
        <v>1101</v>
      </c>
    </row>
    <row r="466" spans="1:3" x14ac:dyDescent="0.35">
      <c r="A466" s="2" t="s">
        <v>64</v>
      </c>
      <c r="B466" s="2">
        <v>7109</v>
      </c>
      <c r="C466" s="2" t="s">
        <v>1102</v>
      </c>
    </row>
    <row r="467" spans="1:3" x14ac:dyDescent="0.35">
      <c r="A467" s="2" t="s">
        <v>64</v>
      </c>
      <c r="B467" s="2">
        <v>7110</v>
      </c>
      <c r="C467" s="2" t="s">
        <v>1103</v>
      </c>
    </row>
    <row r="468" spans="1:3" x14ac:dyDescent="0.35">
      <c r="A468" s="2" t="s">
        <v>64</v>
      </c>
      <c r="B468" s="2">
        <v>7201</v>
      </c>
      <c r="C468" s="2" t="s">
        <v>1104</v>
      </c>
    </row>
    <row r="469" spans="1:3" x14ac:dyDescent="0.35">
      <c r="A469" s="2" t="s">
        <v>64</v>
      </c>
      <c r="B469" s="2">
        <v>7202</v>
      </c>
      <c r="C469" s="2" t="s">
        <v>1105</v>
      </c>
    </row>
    <row r="470" spans="1:3" x14ac:dyDescent="0.35">
      <c r="A470" s="2" t="s">
        <v>64</v>
      </c>
      <c r="B470" s="2">
        <v>7203</v>
      </c>
      <c r="C470" s="2" t="s">
        <v>1106</v>
      </c>
    </row>
    <row r="471" spans="1:3" x14ac:dyDescent="0.35">
      <c r="A471" s="2" t="s">
        <v>64</v>
      </c>
      <c r="B471" s="2">
        <v>7301</v>
      </c>
      <c r="C471" s="2" t="s">
        <v>1107</v>
      </c>
    </row>
    <row r="472" spans="1:3" x14ac:dyDescent="0.35">
      <c r="A472" s="2" t="s">
        <v>64</v>
      </c>
      <c r="B472" s="2">
        <v>7302</v>
      </c>
      <c r="C472" s="2" t="s">
        <v>1108</v>
      </c>
    </row>
    <row r="473" spans="1:3" x14ac:dyDescent="0.35">
      <c r="A473" s="2" t="s">
        <v>64</v>
      </c>
      <c r="B473" s="2">
        <v>7303</v>
      </c>
      <c r="C473" s="2" t="s">
        <v>1109</v>
      </c>
    </row>
    <row r="474" spans="1:3" x14ac:dyDescent="0.35">
      <c r="A474" s="2" t="s">
        <v>64</v>
      </c>
      <c r="B474" s="2">
        <v>7304</v>
      </c>
      <c r="C474" s="2" t="s">
        <v>1110</v>
      </c>
    </row>
    <row r="475" spans="1:3" x14ac:dyDescent="0.35">
      <c r="A475" s="2" t="s">
        <v>64</v>
      </c>
      <c r="B475" s="2">
        <v>7305</v>
      </c>
      <c r="C475" s="2" t="s">
        <v>1111</v>
      </c>
    </row>
    <row r="476" spans="1:3" x14ac:dyDescent="0.35">
      <c r="A476" s="2" t="s">
        <v>64</v>
      </c>
      <c r="B476" s="2">
        <v>7306</v>
      </c>
      <c r="C476" s="2" t="s">
        <v>1112</v>
      </c>
    </row>
    <row r="477" spans="1:3" x14ac:dyDescent="0.35">
      <c r="A477" s="2" t="s">
        <v>64</v>
      </c>
      <c r="B477" s="2">
        <v>7307</v>
      </c>
      <c r="C477" s="2" t="s">
        <v>1113</v>
      </c>
    </row>
    <row r="478" spans="1:3" x14ac:dyDescent="0.35">
      <c r="A478" s="2" t="s">
        <v>64</v>
      </c>
      <c r="B478" s="2">
        <v>7308</v>
      </c>
      <c r="C478" s="2" t="s">
        <v>1114</v>
      </c>
    </row>
    <row r="479" spans="1:3" x14ac:dyDescent="0.35">
      <c r="A479" s="2" t="s">
        <v>64</v>
      </c>
      <c r="B479" s="2">
        <v>7309</v>
      </c>
      <c r="C479" s="2" t="s">
        <v>1115</v>
      </c>
    </row>
    <row r="480" spans="1:3" x14ac:dyDescent="0.35">
      <c r="A480" s="2" t="s">
        <v>64</v>
      </c>
      <c r="B480" s="2">
        <v>7401</v>
      </c>
      <c r="C480" s="2" t="s">
        <v>1116</v>
      </c>
    </row>
    <row r="481" spans="1:3" x14ac:dyDescent="0.35">
      <c r="A481" s="2" t="s">
        <v>64</v>
      </c>
      <c r="B481" s="2">
        <v>7402</v>
      </c>
      <c r="C481" s="2" t="s">
        <v>1117</v>
      </c>
    </row>
    <row r="482" spans="1:3" x14ac:dyDescent="0.35">
      <c r="A482" s="2" t="s">
        <v>64</v>
      </c>
      <c r="B482" s="2">
        <v>7403</v>
      </c>
      <c r="C482" s="2" t="s">
        <v>1118</v>
      </c>
    </row>
    <row r="483" spans="1:3" x14ac:dyDescent="0.35">
      <c r="A483" s="2" t="s">
        <v>64</v>
      </c>
      <c r="B483" s="2">
        <v>7404</v>
      </c>
      <c r="C483" s="2" t="s">
        <v>1119</v>
      </c>
    </row>
    <row r="484" spans="1:3" x14ac:dyDescent="0.35">
      <c r="A484" s="2" t="s">
        <v>64</v>
      </c>
      <c r="B484" s="2">
        <v>7405</v>
      </c>
      <c r="C484" s="2" t="s">
        <v>1120</v>
      </c>
    </row>
    <row r="485" spans="1:3" x14ac:dyDescent="0.35">
      <c r="A485" s="2" t="s">
        <v>64</v>
      </c>
      <c r="B485" s="2">
        <v>7406</v>
      </c>
      <c r="C485" s="2" t="s">
        <v>1121</v>
      </c>
    </row>
    <row r="486" spans="1:3" x14ac:dyDescent="0.35">
      <c r="A486" s="2" t="s">
        <v>64</v>
      </c>
      <c r="B486" s="2">
        <v>7407</v>
      </c>
      <c r="C486" s="2" t="s">
        <v>1122</v>
      </c>
    </row>
    <row r="487" spans="1:3" x14ac:dyDescent="0.35">
      <c r="A487" s="2" t="s">
        <v>64</v>
      </c>
      <c r="B487" s="2">
        <v>7408</v>
      </c>
      <c r="C487" s="2" t="s">
        <v>1123</v>
      </c>
    </row>
    <row r="488" spans="1:3" x14ac:dyDescent="0.35">
      <c r="A488" s="2" t="s">
        <v>64</v>
      </c>
      <c r="B488" s="2">
        <v>8101</v>
      </c>
      <c r="C488" s="2" t="s">
        <v>1124</v>
      </c>
    </row>
    <row r="489" spans="1:3" x14ac:dyDescent="0.35">
      <c r="A489" s="2" t="s">
        <v>64</v>
      </c>
      <c r="B489" s="2">
        <v>8102</v>
      </c>
      <c r="C489" s="2" t="s">
        <v>1125</v>
      </c>
    </row>
    <row r="490" spans="1:3" x14ac:dyDescent="0.35">
      <c r="A490" s="2" t="s">
        <v>64</v>
      </c>
      <c r="B490" s="2">
        <v>8103</v>
      </c>
      <c r="C490" s="2" t="s">
        <v>1126</v>
      </c>
    </row>
    <row r="491" spans="1:3" x14ac:dyDescent="0.35">
      <c r="A491" s="2" t="s">
        <v>64</v>
      </c>
      <c r="B491" s="2">
        <v>8104</v>
      </c>
      <c r="C491" s="2" t="s">
        <v>1127</v>
      </c>
    </row>
    <row r="492" spans="1:3" x14ac:dyDescent="0.35">
      <c r="A492" s="2" t="s">
        <v>64</v>
      </c>
      <c r="B492" s="2">
        <v>8105</v>
      </c>
      <c r="C492" s="2" t="s">
        <v>1128</v>
      </c>
    </row>
    <row r="493" spans="1:3" x14ac:dyDescent="0.35">
      <c r="A493" s="2" t="s">
        <v>64</v>
      </c>
      <c r="B493" s="2">
        <v>8106</v>
      </c>
      <c r="C493" s="2" t="s">
        <v>1129</v>
      </c>
    </row>
    <row r="494" spans="1:3" x14ac:dyDescent="0.35">
      <c r="A494" s="2" t="s">
        <v>64</v>
      </c>
      <c r="B494" s="2">
        <v>8107</v>
      </c>
      <c r="C494" s="2" t="s">
        <v>1130</v>
      </c>
    </row>
    <row r="495" spans="1:3" x14ac:dyDescent="0.35">
      <c r="A495" s="2" t="s">
        <v>64</v>
      </c>
      <c r="B495" s="2">
        <v>8108</v>
      </c>
      <c r="C495" s="2" t="s">
        <v>1131</v>
      </c>
    </row>
    <row r="496" spans="1:3" x14ac:dyDescent="0.35">
      <c r="A496" s="2" t="s">
        <v>64</v>
      </c>
      <c r="B496" s="2">
        <v>8109</v>
      </c>
      <c r="C496" s="2" t="s">
        <v>1132</v>
      </c>
    </row>
    <row r="497" spans="1:3" x14ac:dyDescent="0.35">
      <c r="A497" s="2" t="s">
        <v>64</v>
      </c>
      <c r="B497" s="2">
        <v>8110</v>
      </c>
      <c r="C497" s="2" t="s">
        <v>1133</v>
      </c>
    </row>
    <row r="498" spans="1:3" x14ac:dyDescent="0.35">
      <c r="A498" s="2" t="s">
        <v>64</v>
      </c>
      <c r="B498" s="2">
        <v>8111</v>
      </c>
      <c r="C498" s="2" t="s">
        <v>1134</v>
      </c>
    </row>
    <row r="499" spans="1:3" x14ac:dyDescent="0.35">
      <c r="A499" s="2" t="s">
        <v>64</v>
      </c>
      <c r="B499" s="2">
        <v>8112</v>
      </c>
      <c r="C499" s="2" t="s">
        <v>1135</v>
      </c>
    </row>
    <row r="500" spans="1:3" x14ac:dyDescent="0.35">
      <c r="A500" s="2" t="s">
        <v>64</v>
      </c>
      <c r="B500" s="2">
        <v>8201</v>
      </c>
      <c r="C500" s="2" t="s">
        <v>1136</v>
      </c>
    </row>
    <row r="501" spans="1:3" x14ac:dyDescent="0.35">
      <c r="A501" s="2" t="s">
        <v>64</v>
      </c>
      <c r="B501" s="2">
        <v>8202</v>
      </c>
      <c r="C501" s="2" t="s">
        <v>1137</v>
      </c>
    </row>
    <row r="502" spans="1:3" x14ac:dyDescent="0.35">
      <c r="A502" s="2" t="s">
        <v>64</v>
      </c>
      <c r="B502" s="2">
        <v>8203</v>
      </c>
      <c r="C502" s="2" t="s">
        <v>1138</v>
      </c>
    </row>
    <row r="503" spans="1:3" x14ac:dyDescent="0.35">
      <c r="A503" s="2" t="s">
        <v>64</v>
      </c>
      <c r="B503" s="2">
        <v>8204</v>
      </c>
      <c r="C503" s="2" t="s">
        <v>1139</v>
      </c>
    </row>
    <row r="504" spans="1:3" x14ac:dyDescent="0.35">
      <c r="A504" s="2" t="s">
        <v>64</v>
      </c>
      <c r="B504" s="2">
        <v>8205</v>
      </c>
      <c r="C504" s="2" t="s">
        <v>1140</v>
      </c>
    </row>
    <row r="505" spans="1:3" x14ac:dyDescent="0.35">
      <c r="A505" s="2" t="s">
        <v>64</v>
      </c>
      <c r="B505" s="2">
        <v>8206</v>
      </c>
      <c r="C505" s="2" t="s">
        <v>1141</v>
      </c>
    </row>
    <row r="506" spans="1:3" x14ac:dyDescent="0.35">
      <c r="A506" s="2" t="s">
        <v>64</v>
      </c>
      <c r="B506" s="2">
        <v>8207</v>
      </c>
      <c r="C506" s="2" t="s">
        <v>1142</v>
      </c>
    </row>
    <row r="507" spans="1:3" x14ac:dyDescent="0.35">
      <c r="A507" s="2" t="s">
        <v>64</v>
      </c>
      <c r="B507" s="2">
        <v>8301</v>
      </c>
      <c r="C507" s="2" t="s">
        <v>1143</v>
      </c>
    </row>
    <row r="508" spans="1:3" x14ac:dyDescent="0.35">
      <c r="A508" s="2" t="s">
        <v>64</v>
      </c>
      <c r="B508" s="2">
        <v>8302</v>
      </c>
      <c r="C508" s="2" t="s">
        <v>1144</v>
      </c>
    </row>
    <row r="509" spans="1:3" x14ac:dyDescent="0.35">
      <c r="A509" s="2" t="s">
        <v>64</v>
      </c>
      <c r="B509" s="2">
        <v>8303</v>
      </c>
      <c r="C509" s="2" t="s">
        <v>1145</v>
      </c>
    </row>
    <row r="510" spans="1:3" x14ac:dyDescent="0.35">
      <c r="A510" s="2" t="s">
        <v>64</v>
      </c>
      <c r="B510" s="2">
        <v>8304</v>
      </c>
      <c r="C510" s="2" t="s">
        <v>1146</v>
      </c>
    </row>
    <row r="511" spans="1:3" x14ac:dyDescent="0.35">
      <c r="A511" s="2" t="s">
        <v>64</v>
      </c>
      <c r="B511" s="2">
        <v>8305</v>
      </c>
      <c r="C511" s="2" t="s">
        <v>1147</v>
      </c>
    </row>
    <row r="512" spans="1:3" x14ac:dyDescent="0.35">
      <c r="A512" s="2" t="s">
        <v>64</v>
      </c>
      <c r="B512" s="2">
        <v>8306</v>
      </c>
      <c r="C512" s="2" t="s">
        <v>1148</v>
      </c>
    </row>
    <row r="513" spans="1:3" x14ac:dyDescent="0.35">
      <c r="A513" s="2" t="s">
        <v>64</v>
      </c>
      <c r="B513" s="2">
        <v>8307</v>
      </c>
      <c r="C513" s="2" t="s">
        <v>1149</v>
      </c>
    </row>
    <row r="514" spans="1:3" x14ac:dyDescent="0.35">
      <c r="A514" s="2" t="s">
        <v>64</v>
      </c>
      <c r="B514" s="2">
        <v>8308</v>
      </c>
      <c r="C514" s="2" t="s">
        <v>1150</v>
      </c>
    </row>
    <row r="515" spans="1:3" x14ac:dyDescent="0.35">
      <c r="A515" s="2" t="s">
        <v>64</v>
      </c>
      <c r="B515" s="2">
        <v>8309</v>
      </c>
      <c r="C515" s="2" t="s">
        <v>1151</v>
      </c>
    </row>
    <row r="516" spans="1:3" x14ac:dyDescent="0.35">
      <c r="A516" s="2" t="s">
        <v>64</v>
      </c>
      <c r="B516" s="2">
        <v>8310</v>
      </c>
      <c r="C516" s="2" t="s">
        <v>1152</v>
      </c>
    </row>
    <row r="517" spans="1:3" x14ac:dyDescent="0.35">
      <c r="A517" s="2" t="s">
        <v>64</v>
      </c>
      <c r="B517" s="2">
        <v>8311</v>
      </c>
      <c r="C517" s="2" t="s">
        <v>1153</v>
      </c>
    </row>
    <row r="518" spans="1:3" x14ac:dyDescent="0.35">
      <c r="A518" s="2" t="s">
        <v>64</v>
      </c>
      <c r="B518" s="2">
        <v>8312</v>
      </c>
      <c r="C518" s="2" t="s">
        <v>1154</v>
      </c>
    </row>
    <row r="519" spans="1:3" x14ac:dyDescent="0.35">
      <c r="A519" s="2" t="s">
        <v>64</v>
      </c>
      <c r="B519" s="2">
        <v>8313</v>
      </c>
      <c r="C519" s="2" t="s">
        <v>1155</v>
      </c>
    </row>
    <row r="520" spans="1:3" x14ac:dyDescent="0.35">
      <c r="A520" s="2" t="s">
        <v>64</v>
      </c>
      <c r="B520" s="2">
        <v>8314</v>
      </c>
      <c r="C520" s="2" t="s">
        <v>1156</v>
      </c>
    </row>
    <row r="521" spans="1:3" x14ac:dyDescent="0.35">
      <c r="A521" s="2" t="s">
        <v>64</v>
      </c>
      <c r="B521" s="2">
        <v>8401</v>
      </c>
      <c r="C521" s="2" t="s">
        <v>1157</v>
      </c>
    </row>
    <row r="522" spans="1:3" x14ac:dyDescent="0.35">
      <c r="A522" s="2" t="s">
        <v>64</v>
      </c>
      <c r="B522" s="2">
        <v>8402</v>
      </c>
      <c r="C522" s="2" t="s">
        <v>1158</v>
      </c>
    </row>
    <row r="523" spans="1:3" x14ac:dyDescent="0.35">
      <c r="A523" s="2" t="s">
        <v>64</v>
      </c>
      <c r="B523" s="2">
        <v>8403</v>
      </c>
      <c r="C523" s="2" t="s">
        <v>1159</v>
      </c>
    </row>
    <row r="524" spans="1:3" x14ac:dyDescent="0.35">
      <c r="A524" s="2" t="s">
        <v>64</v>
      </c>
      <c r="B524" s="2">
        <v>8404</v>
      </c>
      <c r="C524" s="2" t="s">
        <v>1160</v>
      </c>
    </row>
    <row r="525" spans="1:3" x14ac:dyDescent="0.35">
      <c r="A525" s="2" t="s">
        <v>64</v>
      </c>
      <c r="B525" s="2">
        <v>8405</v>
      </c>
      <c r="C525" s="2" t="s">
        <v>1161</v>
      </c>
    </row>
    <row r="526" spans="1:3" x14ac:dyDescent="0.35">
      <c r="A526" s="2" t="s">
        <v>64</v>
      </c>
      <c r="B526" s="2">
        <v>8406</v>
      </c>
      <c r="C526" s="2" t="s">
        <v>1162</v>
      </c>
    </row>
    <row r="527" spans="1:3" x14ac:dyDescent="0.35">
      <c r="A527" s="2" t="s">
        <v>64</v>
      </c>
      <c r="B527" s="2">
        <v>8407</v>
      </c>
      <c r="C527" s="2" t="s">
        <v>1163</v>
      </c>
    </row>
    <row r="528" spans="1:3" x14ac:dyDescent="0.35">
      <c r="A528" s="2" t="s">
        <v>64</v>
      </c>
      <c r="B528" s="2">
        <v>8408</v>
      </c>
      <c r="C528" s="2" t="s">
        <v>1164</v>
      </c>
    </row>
    <row r="529" spans="1:3" x14ac:dyDescent="0.35">
      <c r="A529" s="2" t="s">
        <v>64</v>
      </c>
      <c r="B529" s="2">
        <v>8409</v>
      </c>
      <c r="C529" s="2" t="s">
        <v>1165</v>
      </c>
    </row>
    <row r="530" spans="1:3" x14ac:dyDescent="0.35">
      <c r="A530" s="2" t="s">
        <v>64</v>
      </c>
      <c r="B530" s="2">
        <v>8410</v>
      </c>
      <c r="C530" s="2" t="s">
        <v>1166</v>
      </c>
    </row>
    <row r="531" spans="1:3" x14ac:dyDescent="0.35">
      <c r="A531" s="2" t="s">
        <v>64</v>
      </c>
      <c r="B531" s="2">
        <v>8411</v>
      </c>
      <c r="C531" s="2" t="s">
        <v>1167</v>
      </c>
    </row>
    <row r="532" spans="1:3" x14ac:dyDescent="0.35">
      <c r="A532" s="2" t="s">
        <v>64</v>
      </c>
      <c r="B532" s="2">
        <v>8412</v>
      </c>
      <c r="C532" s="2" t="s">
        <v>1168</v>
      </c>
    </row>
    <row r="533" spans="1:3" x14ac:dyDescent="0.35">
      <c r="A533" s="2" t="s">
        <v>64</v>
      </c>
      <c r="B533" s="2">
        <v>8413</v>
      </c>
      <c r="C533" s="2" t="s">
        <v>1169</v>
      </c>
    </row>
    <row r="534" spans="1:3" x14ac:dyDescent="0.35">
      <c r="A534" s="2" t="s">
        <v>64</v>
      </c>
      <c r="B534" s="2">
        <v>8414</v>
      </c>
      <c r="C534" s="2" t="s">
        <v>1170</v>
      </c>
    </row>
    <row r="535" spans="1:3" x14ac:dyDescent="0.35">
      <c r="A535" s="2" t="s">
        <v>64</v>
      </c>
      <c r="B535" s="2">
        <v>8415</v>
      </c>
      <c r="C535" s="2" t="s">
        <v>1171</v>
      </c>
    </row>
    <row r="536" spans="1:3" x14ac:dyDescent="0.35">
      <c r="A536" s="2" t="s">
        <v>64</v>
      </c>
      <c r="B536" s="2">
        <v>8416</v>
      </c>
      <c r="C536" s="2" t="s">
        <v>1172</v>
      </c>
    </row>
    <row r="537" spans="1:3" x14ac:dyDescent="0.35">
      <c r="A537" s="2" t="s">
        <v>64</v>
      </c>
      <c r="B537" s="2">
        <v>8417</v>
      </c>
      <c r="C537" s="2" t="s">
        <v>1173</v>
      </c>
    </row>
    <row r="538" spans="1:3" x14ac:dyDescent="0.35">
      <c r="A538" s="2" t="s">
        <v>64</v>
      </c>
      <c r="B538" s="2">
        <v>8418</v>
      </c>
      <c r="C538" s="2" t="s">
        <v>1174</v>
      </c>
    </row>
    <row r="539" spans="1:3" x14ac:dyDescent="0.35">
      <c r="A539" s="2" t="s">
        <v>64</v>
      </c>
      <c r="B539" s="2">
        <v>8419</v>
      </c>
      <c r="C539" s="2" t="s">
        <v>1175</v>
      </c>
    </row>
    <row r="540" spans="1:3" x14ac:dyDescent="0.35">
      <c r="A540" s="2" t="s">
        <v>64</v>
      </c>
      <c r="B540" s="2">
        <v>8420</v>
      </c>
      <c r="C540" s="2" t="s">
        <v>1176</v>
      </c>
    </row>
    <row r="541" spans="1:3" x14ac:dyDescent="0.35">
      <c r="A541" s="2" t="s">
        <v>64</v>
      </c>
      <c r="B541" s="2">
        <v>8421</v>
      </c>
      <c r="C541" s="2" t="s">
        <v>1177</v>
      </c>
    </row>
    <row r="542" spans="1:3" x14ac:dyDescent="0.35">
      <c r="A542" s="2" t="s">
        <v>64</v>
      </c>
      <c r="B542" s="2">
        <v>9101</v>
      </c>
      <c r="C542" s="2" t="s">
        <v>1178</v>
      </c>
    </row>
    <row r="543" spans="1:3" x14ac:dyDescent="0.35">
      <c r="A543" s="2" t="s">
        <v>64</v>
      </c>
      <c r="B543" s="2">
        <v>9102</v>
      </c>
      <c r="C543" s="2" t="s">
        <v>1179</v>
      </c>
    </row>
    <row r="544" spans="1:3" x14ac:dyDescent="0.35">
      <c r="A544" s="2" t="s">
        <v>64</v>
      </c>
      <c r="B544" s="2">
        <v>9103</v>
      </c>
      <c r="C544" s="2" t="s">
        <v>1180</v>
      </c>
    </row>
    <row r="545" spans="1:3" x14ac:dyDescent="0.35">
      <c r="A545" s="2" t="s">
        <v>64</v>
      </c>
      <c r="B545" s="2">
        <v>9104</v>
      </c>
      <c r="C545" s="2" t="s">
        <v>1181</v>
      </c>
    </row>
    <row r="546" spans="1:3" x14ac:dyDescent="0.35">
      <c r="A546" s="2" t="s">
        <v>64</v>
      </c>
      <c r="B546" s="2">
        <v>9105</v>
      </c>
      <c r="C546" s="2" t="s">
        <v>1182</v>
      </c>
    </row>
    <row r="547" spans="1:3" x14ac:dyDescent="0.35">
      <c r="A547" s="2" t="s">
        <v>64</v>
      </c>
      <c r="B547" s="2">
        <v>9106</v>
      </c>
      <c r="C547" s="2" t="s">
        <v>1183</v>
      </c>
    </row>
    <row r="548" spans="1:3" x14ac:dyDescent="0.35">
      <c r="A548" s="2" t="s">
        <v>64</v>
      </c>
      <c r="B548" s="2">
        <v>9107</v>
      </c>
      <c r="C548" s="2" t="s">
        <v>1184</v>
      </c>
    </row>
    <row r="549" spans="1:3" x14ac:dyDescent="0.35">
      <c r="A549" s="2" t="s">
        <v>64</v>
      </c>
      <c r="B549" s="2">
        <v>9108</v>
      </c>
      <c r="C549" s="2" t="s">
        <v>1185</v>
      </c>
    </row>
    <row r="550" spans="1:3" x14ac:dyDescent="0.35">
      <c r="A550" s="2" t="s">
        <v>64</v>
      </c>
      <c r="B550" s="2">
        <v>9109</v>
      </c>
      <c r="C550" s="2" t="s">
        <v>1186</v>
      </c>
    </row>
    <row r="551" spans="1:3" x14ac:dyDescent="0.35">
      <c r="A551" s="2" t="s">
        <v>64</v>
      </c>
      <c r="B551" s="2">
        <v>9110</v>
      </c>
      <c r="C551" s="2" t="s">
        <v>1187</v>
      </c>
    </row>
    <row r="552" spans="1:3" x14ac:dyDescent="0.35">
      <c r="A552" s="2" t="s">
        <v>64</v>
      </c>
      <c r="B552" s="2">
        <v>9111</v>
      </c>
      <c r="C552" s="2" t="s">
        <v>1188</v>
      </c>
    </row>
    <row r="553" spans="1:3" x14ac:dyDescent="0.35">
      <c r="A553" s="2" t="s">
        <v>64</v>
      </c>
      <c r="B553" s="2">
        <v>9112</v>
      </c>
      <c r="C553" s="2" t="s">
        <v>1189</v>
      </c>
    </row>
    <row r="554" spans="1:3" x14ac:dyDescent="0.35">
      <c r="A554" s="2" t="s">
        <v>64</v>
      </c>
      <c r="B554" s="2">
        <v>9113</v>
      </c>
      <c r="C554" s="2" t="s">
        <v>1190</v>
      </c>
    </row>
    <row r="555" spans="1:3" x14ac:dyDescent="0.35">
      <c r="A555" s="2" t="s">
        <v>64</v>
      </c>
      <c r="B555" s="2">
        <v>9114</v>
      </c>
      <c r="C555" s="2" t="s">
        <v>1191</v>
      </c>
    </row>
    <row r="556" spans="1:3" x14ac:dyDescent="0.35">
      <c r="A556" s="2" t="s">
        <v>64</v>
      </c>
      <c r="B556" s="2">
        <v>9115</v>
      </c>
      <c r="C556" s="2" t="s">
        <v>1192</v>
      </c>
    </row>
    <row r="557" spans="1:3" x14ac:dyDescent="0.35">
      <c r="A557" s="2" t="s">
        <v>64</v>
      </c>
      <c r="B557" s="2">
        <v>9116</v>
      </c>
      <c r="C557" s="2" t="s">
        <v>1193</v>
      </c>
    </row>
    <row r="558" spans="1:3" x14ac:dyDescent="0.35">
      <c r="A558" s="2" t="s">
        <v>64</v>
      </c>
      <c r="B558" s="2">
        <v>9117</v>
      </c>
      <c r="C558" s="2" t="s">
        <v>1194</v>
      </c>
    </row>
    <row r="559" spans="1:3" x14ac:dyDescent="0.35">
      <c r="A559" s="2" t="s">
        <v>64</v>
      </c>
      <c r="B559" s="2">
        <v>9118</v>
      </c>
      <c r="C559" s="2" t="s">
        <v>1195</v>
      </c>
    </row>
    <row r="560" spans="1:3" x14ac:dyDescent="0.35">
      <c r="A560" s="2" t="s">
        <v>64</v>
      </c>
      <c r="B560" s="2">
        <v>9119</v>
      </c>
      <c r="C560" s="2" t="s">
        <v>1196</v>
      </c>
    </row>
    <row r="561" spans="1:3" x14ac:dyDescent="0.35">
      <c r="A561" s="2" t="s">
        <v>64</v>
      </c>
      <c r="B561" s="2">
        <v>9120</v>
      </c>
      <c r="C561" s="2" t="s">
        <v>1197</v>
      </c>
    </row>
    <row r="562" spans="1:3" x14ac:dyDescent="0.35">
      <c r="A562" s="2" t="s">
        <v>64</v>
      </c>
      <c r="B562" s="2">
        <v>9121</v>
      </c>
      <c r="C562" s="2" t="s">
        <v>1198</v>
      </c>
    </row>
    <row r="563" spans="1:3" x14ac:dyDescent="0.35">
      <c r="A563" s="2" t="s">
        <v>64</v>
      </c>
      <c r="B563" s="2">
        <v>9201</v>
      </c>
      <c r="C563" s="2" t="s">
        <v>1199</v>
      </c>
    </row>
    <row r="564" spans="1:3" x14ac:dyDescent="0.35">
      <c r="A564" s="2" t="s">
        <v>64</v>
      </c>
      <c r="B564" s="2">
        <v>9202</v>
      </c>
      <c r="C564" s="2" t="s">
        <v>1200</v>
      </c>
    </row>
    <row r="565" spans="1:3" x14ac:dyDescent="0.35">
      <c r="A565" s="2" t="s">
        <v>64</v>
      </c>
      <c r="B565" s="2">
        <v>9203</v>
      </c>
      <c r="C565" s="2" t="s">
        <v>1201</v>
      </c>
    </row>
    <row r="566" spans="1:3" x14ac:dyDescent="0.35">
      <c r="A566" s="2" t="s">
        <v>64</v>
      </c>
      <c r="B566" s="2">
        <v>9204</v>
      </c>
      <c r="C566" s="2" t="s">
        <v>1202</v>
      </c>
    </row>
    <row r="567" spans="1:3" x14ac:dyDescent="0.35">
      <c r="A567" s="2" t="s">
        <v>64</v>
      </c>
      <c r="B567" s="2">
        <v>9205</v>
      </c>
      <c r="C567" s="2" t="s">
        <v>1203</v>
      </c>
    </row>
    <row r="568" spans="1:3" x14ac:dyDescent="0.35">
      <c r="A568" s="2" t="s">
        <v>64</v>
      </c>
      <c r="B568" s="2">
        <v>9206</v>
      </c>
      <c r="C568" s="2" t="s">
        <v>1204</v>
      </c>
    </row>
    <row r="569" spans="1:3" x14ac:dyDescent="0.35">
      <c r="A569" s="2" t="s">
        <v>64</v>
      </c>
      <c r="B569" s="2">
        <v>9207</v>
      </c>
      <c r="C569" s="2" t="s">
        <v>1205</v>
      </c>
    </row>
    <row r="570" spans="1:3" x14ac:dyDescent="0.35">
      <c r="A570" s="2" t="s">
        <v>64</v>
      </c>
      <c r="B570" s="2">
        <v>9208</v>
      </c>
      <c r="C570" s="2" t="s">
        <v>1206</v>
      </c>
    </row>
    <row r="571" spans="1:3" x14ac:dyDescent="0.35">
      <c r="A571" s="2" t="s">
        <v>64</v>
      </c>
      <c r="B571" s="2">
        <v>9209</v>
      </c>
      <c r="C571" s="2" t="s">
        <v>1207</v>
      </c>
    </row>
    <row r="572" spans="1:3" x14ac:dyDescent="0.35">
      <c r="A572" s="2" t="s">
        <v>64</v>
      </c>
      <c r="B572" s="2">
        <v>9210</v>
      </c>
      <c r="C572" s="2" t="s">
        <v>1208</v>
      </c>
    </row>
    <row r="573" spans="1:3" x14ac:dyDescent="0.35">
      <c r="A573" s="2" t="s">
        <v>64</v>
      </c>
      <c r="B573" s="2">
        <v>9211</v>
      </c>
      <c r="C573" s="2" t="s">
        <v>1209</v>
      </c>
    </row>
    <row r="574" spans="1:3" x14ac:dyDescent="0.35">
      <c r="A574" s="2" t="s">
        <v>64</v>
      </c>
      <c r="B574" s="2">
        <v>10101</v>
      </c>
      <c r="C574" s="2" t="s">
        <v>1210</v>
      </c>
    </row>
    <row r="575" spans="1:3" x14ac:dyDescent="0.35">
      <c r="A575" s="2" t="s">
        <v>64</v>
      </c>
      <c r="B575" s="2">
        <v>10102</v>
      </c>
      <c r="C575" s="2" t="s">
        <v>1211</v>
      </c>
    </row>
    <row r="576" spans="1:3" x14ac:dyDescent="0.35">
      <c r="A576" s="2" t="s">
        <v>64</v>
      </c>
      <c r="B576" s="2">
        <v>10103</v>
      </c>
      <c r="C576" s="2" t="s">
        <v>1212</v>
      </c>
    </row>
    <row r="577" spans="1:3" x14ac:dyDescent="0.35">
      <c r="A577" s="2" t="s">
        <v>64</v>
      </c>
      <c r="B577" s="2">
        <v>10104</v>
      </c>
      <c r="C577" s="2" t="s">
        <v>1213</v>
      </c>
    </row>
    <row r="578" spans="1:3" x14ac:dyDescent="0.35">
      <c r="A578" s="2" t="s">
        <v>64</v>
      </c>
      <c r="B578" s="2">
        <v>10105</v>
      </c>
      <c r="C578" s="2" t="s">
        <v>1214</v>
      </c>
    </row>
    <row r="579" spans="1:3" x14ac:dyDescent="0.35">
      <c r="A579" s="2" t="s">
        <v>64</v>
      </c>
      <c r="B579" s="2">
        <v>10106</v>
      </c>
      <c r="C579" s="2" t="s">
        <v>1215</v>
      </c>
    </row>
    <row r="580" spans="1:3" x14ac:dyDescent="0.35">
      <c r="A580" s="2" t="s">
        <v>64</v>
      </c>
      <c r="B580" s="2">
        <v>10107</v>
      </c>
      <c r="C580" s="2" t="s">
        <v>1216</v>
      </c>
    </row>
    <row r="581" spans="1:3" x14ac:dyDescent="0.35">
      <c r="A581" s="2" t="s">
        <v>64</v>
      </c>
      <c r="B581" s="2">
        <v>10108</v>
      </c>
      <c r="C581" s="2" t="s">
        <v>1217</v>
      </c>
    </row>
    <row r="582" spans="1:3" x14ac:dyDescent="0.35">
      <c r="A582" s="2" t="s">
        <v>64</v>
      </c>
      <c r="B582" s="2">
        <v>10109</v>
      </c>
      <c r="C582" s="2" t="s">
        <v>1218</v>
      </c>
    </row>
    <row r="583" spans="1:3" x14ac:dyDescent="0.35">
      <c r="A583" s="2" t="s">
        <v>64</v>
      </c>
      <c r="B583" s="2">
        <v>10201</v>
      </c>
      <c r="C583" s="2" t="s">
        <v>1219</v>
      </c>
    </row>
    <row r="584" spans="1:3" x14ac:dyDescent="0.35">
      <c r="A584" s="2" t="s">
        <v>64</v>
      </c>
      <c r="B584" s="2">
        <v>10202</v>
      </c>
      <c r="C584" s="2" t="s">
        <v>1220</v>
      </c>
    </row>
    <row r="585" spans="1:3" x14ac:dyDescent="0.35">
      <c r="A585" s="2" t="s">
        <v>64</v>
      </c>
      <c r="B585" s="2">
        <v>10203</v>
      </c>
      <c r="C585" s="2" t="s">
        <v>1221</v>
      </c>
    </row>
    <row r="586" spans="1:3" x14ac:dyDescent="0.35">
      <c r="A586" s="2" t="s">
        <v>64</v>
      </c>
      <c r="B586" s="2">
        <v>10204</v>
      </c>
      <c r="C586" s="2" t="s">
        <v>1222</v>
      </c>
    </row>
    <row r="587" spans="1:3" x14ac:dyDescent="0.35">
      <c r="A587" s="2" t="s">
        <v>64</v>
      </c>
      <c r="B587" s="2">
        <v>10205</v>
      </c>
      <c r="C587" s="2" t="s">
        <v>1223</v>
      </c>
    </row>
    <row r="588" spans="1:3" x14ac:dyDescent="0.35">
      <c r="A588" s="2" t="s">
        <v>64</v>
      </c>
      <c r="B588" s="2">
        <v>10206</v>
      </c>
      <c r="C588" s="2" t="s">
        <v>1224</v>
      </c>
    </row>
    <row r="589" spans="1:3" x14ac:dyDescent="0.35">
      <c r="A589" s="2" t="s">
        <v>64</v>
      </c>
      <c r="B589" s="2">
        <v>10207</v>
      </c>
      <c r="C589" s="2" t="s">
        <v>1225</v>
      </c>
    </row>
    <row r="590" spans="1:3" x14ac:dyDescent="0.35">
      <c r="A590" s="2" t="s">
        <v>64</v>
      </c>
      <c r="B590" s="2">
        <v>10208</v>
      </c>
      <c r="C590" s="2" t="s">
        <v>1226</v>
      </c>
    </row>
    <row r="591" spans="1:3" x14ac:dyDescent="0.35">
      <c r="A591" s="2" t="s">
        <v>64</v>
      </c>
      <c r="B591" s="2">
        <v>10209</v>
      </c>
      <c r="C591" s="2" t="s">
        <v>1227</v>
      </c>
    </row>
    <row r="592" spans="1:3" x14ac:dyDescent="0.35">
      <c r="A592" s="2" t="s">
        <v>64</v>
      </c>
      <c r="B592" s="2">
        <v>10210</v>
      </c>
      <c r="C592" s="2" t="s">
        <v>1228</v>
      </c>
    </row>
    <row r="593" spans="1:3" x14ac:dyDescent="0.35">
      <c r="A593" s="2" t="s">
        <v>64</v>
      </c>
      <c r="B593" s="2">
        <v>10301</v>
      </c>
      <c r="C593" s="2" t="s">
        <v>1229</v>
      </c>
    </row>
    <row r="594" spans="1:3" x14ac:dyDescent="0.35">
      <c r="A594" s="2" t="s">
        <v>64</v>
      </c>
      <c r="B594" s="2">
        <v>10302</v>
      </c>
      <c r="C594" s="2" t="s">
        <v>1230</v>
      </c>
    </row>
    <row r="595" spans="1:3" x14ac:dyDescent="0.35">
      <c r="A595" s="2" t="s">
        <v>64</v>
      </c>
      <c r="B595" s="2">
        <v>10303</v>
      </c>
      <c r="C595" s="2" t="s">
        <v>1231</v>
      </c>
    </row>
    <row r="596" spans="1:3" x14ac:dyDescent="0.35">
      <c r="A596" s="2" t="s">
        <v>64</v>
      </c>
      <c r="B596" s="2">
        <v>10304</v>
      </c>
      <c r="C596" s="2" t="s">
        <v>1232</v>
      </c>
    </row>
    <row r="597" spans="1:3" x14ac:dyDescent="0.35">
      <c r="A597" s="2" t="s">
        <v>64</v>
      </c>
      <c r="B597" s="2">
        <v>10305</v>
      </c>
      <c r="C597" s="2" t="s">
        <v>1233</v>
      </c>
    </row>
    <row r="598" spans="1:3" x14ac:dyDescent="0.35">
      <c r="A598" s="2" t="s">
        <v>64</v>
      </c>
      <c r="B598" s="2">
        <v>10306</v>
      </c>
      <c r="C598" s="2" t="s">
        <v>1234</v>
      </c>
    </row>
    <row r="599" spans="1:3" x14ac:dyDescent="0.35">
      <c r="A599" s="2" t="s">
        <v>64</v>
      </c>
      <c r="B599" s="2">
        <v>10307</v>
      </c>
      <c r="C599" s="2" t="s">
        <v>1235</v>
      </c>
    </row>
    <row r="600" spans="1:3" x14ac:dyDescent="0.35">
      <c r="A600" s="2" t="s">
        <v>64</v>
      </c>
      <c r="B600" s="2">
        <v>10401</v>
      </c>
      <c r="C600" s="2" t="s">
        <v>1236</v>
      </c>
    </row>
    <row r="601" spans="1:3" x14ac:dyDescent="0.35">
      <c r="A601" s="2" t="s">
        <v>64</v>
      </c>
      <c r="B601" s="2">
        <v>10402</v>
      </c>
      <c r="C601" s="2" t="s">
        <v>1237</v>
      </c>
    </row>
    <row r="602" spans="1:3" x14ac:dyDescent="0.35">
      <c r="A602" s="2" t="s">
        <v>64</v>
      </c>
      <c r="B602" s="2">
        <v>10403</v>
      </c>
      <c r="C602" s="2" t="s">
        <v>1238</v>
      </c>
    </row>
    <row r="603" spans="1:3" x14ac:dyDescent="0.35">
      <c r="A603" s="2" t="s">
        <v>64</v>
      </c>
      <c r="B603" s="2">
        <v>10404</v>
      </c>
      <c r="C603" s="2" t="s">
        <v>1239</v>
      </c>
    </row>
    <row r="604" spans="1:3" x14ac:dyDescent="0.35">
      <c r="A604" s="2" t="s">
        <v>64</v>
      </c>
      <c r="B604" s="2">
        <v>11101</v>
      </c>
      <c r="C604" s="2" t="s">
        <v>1240</v>
      </c>
    </row>
    <row r="605" spans="1:3" x14ac:dyDescent="0.35">
      <c r="A605" s="2" t="s">
        <v>64</v>
      </c>
      <c r="B605" s="2">
        <v>11102</v>
      </c>
      <c r="C605" s="2" t="s">
        <v>1241</v>
      </c>
    </row>
    <row r="606" spans="1:3" x14ac:dyDescent="0.35">
      <c r="A606" s="2" t="s">
        <v>64</v>
      </c>
      <c r="B606" s="2">
        <v>11201</v>
      </c>
      <c r="C606" s="2" t="s">
        <v>1242</v>
      </c>
    </row>
    <row r="607" spans="1:3" x14ac:dyDescent="0.35">
      <c r="A607" s="2" t="s">
        <v>64</v>
      </c>
      <c r="B607" s="2">
        <v>11202</v>
      </c>
      <c r="C607" s="2" t="s">
        <v>1243</v>
      </c>
    </row>
    <row r="608" spans="1:3" x14ac:dyDescent="0.35">
      <c r="A608" s="2" t="s">
        <v>64</v>
      </c>
      <c r="B608" s="2">
        <v>11203</v>
      </c>
      <c r="C608" s="2" t="s">
        <v>1244</v>
      </c>
    </row>
    <row r="609" spans="1:3" x14ac:dyDescent="0.35">
      <c r="A609" s="2" t="s">
        <v>64</v>
      </c>
      <c r="B609" s="2">
        <v>11301</v>
      </c>
      <c r="C609" s="2" t="s">
        <v>1245</v>
      </c>
    </row>
    <row r="610" spans="1:3" x14ac:dyDescent="0.35">
      <c r="A610" s="2" t="s">
        <v>64</v>
      </c>
      <c r="B610" s="2">
        <v>11302</v>
      </c>
      <c r="C610" s="2" t="s">
        <v>1246</v>
      </c>
    </row>
    <row r="611" spans="1:3" x14ac:dyDescent="0.35">
      <c r="A611" s="2" t="s">
        <v>64</v>
      </c>
      <c r="B611" s="2">
        <v>11303</v>
      </c>
      <c r="C611" s="2" t="s">
        <v>1247</v>
      </c>
    </row>
    <row r="612" spans="1:3" x14ac:dyDescent="0.35">
      <c r="A612" s="2" t="s">
        <v>64</v>
      </c>
      <c r="B612" s="2">
        <v>11401</v>
      </c>
      <c r="C612" s="2" t="s">
        <v>1248</v>
      </c>
    </row>
    <row r="613" spans="1:3" x14ac:dyDescent="0.35">
      <c r="A613" s="2" t="s">
        <v>64</v>
      </c>
      <c r="B613" s="2">
        <v>11402</v>
      </c>
      <c r="C613" s="2" t="s">
        <v>1249</v>
      </c>
    </row>
    <row r="614" spans="1:3" x14ac:dyDescent="0.35">
      <c r="A614" s="2" t="s">
        <v>64</v>
      </c>
      <c r="B614" s="2">
        <v>12101</v>
      </c>
      <c r="C614" s="2" t="s">
        <v>1250</v>
      </c>
    </row>
    <row r="615" spans="1:3" x14ac:dyDescent="0.35">
      <c r="A615" s="2" t="s">
        <v>64</v>
      </c>
      <c r="B615" s="2">
        <v>12102</v>
      </c>
      <c r="C615" s="2" t="s">
        <v>1251</v>
      </c>
    </row>
    <row r="616" spans="1:3" x14ac:dyDescent="0.35">
      <c r="A616" s="2" t="s">
        <v>64</v>
      </c>
      <c r="B616" s="2">
        <v>12103</v>
      </c>
      <c r="C616" s="2" t="s">
        <v>1252</v>
      </c>
    </row>
    <row r="617" spans="1:3" x14ac:dyDescent="0.35">
      <c r="A617" s="2" t="s">
        <v>64</v>
      </c>
      <c r="B617" s="2">
        <v>12104</v>
      </c>
      <c r="C617" s="2" t="s">
        <v>1253</v>
      </c>
    </row>
    <row r="618" spans="1:3" x14ac:dyDescent="0.35">
      <c r="A618" s="2" t="s">
        <v>64</v>
      </c>
      <c r="B618" s="2">
        <v>12201</v>
      </c>
      <c r="C618" s="2" t="s">
        <v>1254</v>
      </c>
    </row>
    <row r="619" spans="1:3" x14ac:dyDescent="0.35">
      <c r="A619" s="2" t="s">
        <v>64</v>
      </c>
      <c r="B619" s="2">
        <v>12202</v>
      </c>
      <c r="C619" s="2" t="s">
        <v>1255</v>
      </c>
    </row>
    <row r="620" spans="1:3" x14ac:dyDescent="0.35">
      <c r="A620" s="2" t="s">
        <v>64</v>
      </c>
      <c r="B620" s="2">
        <v>12301</v>
      </c>
      <c r="C620" s="2" t="s">
        <v>1256</v>
      </c>
    </row>
    <row r="621" spans="1:3" x14ac:dyDescent="0.35">
      <c r="A621" s="2" t="s">
        <v>64</v>
      </c>
      <c r="B621" s="2">
        <v>12302</v>
      </c>
      <c r="C621" s="2" t="s">
        <v>1257</v>
      </c>
    </row>
    <row r="622" spans="1:3" x14ac:dyDescent="0.35">
      <c r="A622" s="2" t="s">
        <v>64</v>
      </c>
      <c r="B622" s="2">
        <v>12303</v>
      </c>
      <c r="C622" s="2" t="s">
        <v>1258</v>
      </c>
    </row>
    <row r="623" spans="1:3" x14ac:dyDescent="0.35">
      <c r="A623" s="2" t="s">
        <v>64</v>
      </c>
      <c r="B623" s="2">
        <v>12401</v>
      </c>
      <c r="C623" s="2" t="s">
        <v>1259</v>
      </c>
    </row>
    <row r="624" spans="1:3" x14ac:dyDescent="0.35">
      <c r="A624" s="2" t="s">
        <v>64</v>
      </c>
      <c r="B624" s="2">
        <v>12402</v>
      </c>
      <c r="C624" s="2" t="s">
        <v>1260</v>
      </c>
    </row>
    <row r="625" spans="1:3" x14ac:dyDescent="0.35">
      <c r="A625" s="2" t="s">
        <v>64</v>
      </c>
      <c r="B625" s="2">
        <v>13101</v>
      </c>
      <c r="C625" s="2" t="s">
        <v>1261</v>
      </c>
    </row>
    <row r="626" spans="1:3" x14ac:dyDescent="0.35">
      <c r="A626" s="2" t="s">
        <v>64</v>
      </c>
      <c r="B626" s="2">
        <v>13102</v>
      </c>
      <c r="C626" s="2" t="s">
        <v>1262</v>
      </c>
    </row>
    <row r="627" spans="1:3" x14ac:dyDescent="0.35">
      <c r="A627" s="2" t="s">
        <v>64</v>
      </c>
      <c r="B627" s="2">
        <v>13103</v>
      </c>
      <c r="C627" s="2" t="s">
        <v>1263</v>
      </c>
    </row>
    <row r="628" spans="1:3" x14ac:dyDescent="0.35">
      <c r="A628" s="2" t="s">
        <v>64</v>
      </c>
      <c r="B628" s="2">
        <v>13104</v>
      </c>
      <c r="C628" s="2" t="s">
        <v>1264</v>
      </c>
    </row>
    <row r="629" spans="1:3" x14ac:dyDescent="0.35">
      <c r="A629" s="2" t="s">
        <v>64</v>
      </c>
      <c r="B629" s="2">
        <v>13105</v>
      </c>
      <c r="C629" s="2" t="s">
        <v>1265</v>
      </c>
    </row>
    <row r="630" spans="1:3" x14ac:dyDescent="0.35">
      <c r="A630" s="2" t="s">
        <v>64</v>
      </c>
      <c r="B630" s="2">
        <v>13106</v>
      </c>
      <c r="C630" s="2" t="s">
        <v>1266</v>
      </c>
    </row>
    <row r="631" spans="1:3" x14ac:dyDescent="0.35">
      <c r="A631" s="2" t="s">
        <v>64</v>
      </c>
      <c r="B631" s="2">
        <v>13107</v>
      </c>
      <c r="C631" s="2" t="s">
        <v>1267</v>
      </c>
    </row>
    <row r="632" spans="1:3" x14ac:dyDescent="0.35">
      <c r="A632" s="2" t="s">
        <v>64</v>
      </c>
      <c r="B632" s="2">
        <v>13108</v>
      </c>
      <c r="C632" s="2" t="s">
        <v>1268</v>
      </c>
    </row>
    <row r="633" spans="1:3" x14ac:dyDescent="0.35">
      <c r="A633" s="2" t="s">
        <v>64</v>
      </c>
      <c r="B633" s="2">
        <v>13109</v>
      </c>
      <c r="C633" s="2" t="s">
        <v>1269</v>
      </c>
    </row>
    <row r="634" spans="1:3" x14ac:dyDescent="0.35">
      <c r="A634" s="2" t="s">
        <v>64</v>
      </c>
      <c r="B634" s="2">
        <v>13110</v>
      </c>
      <c r="C634" s="2" t="s">
        <v>1270</v>
      </c>
    </row>
    <row r="635" spans="1:3" x14ac:dyDescent="0.35">
      <c r="A635" s="2" t="s">
        <v>64</v>
      </c>
      <c r="B635" s="2">
        <v>13111</v>
      </c>
      <c r="C635" s="2" t="s">
        <v>1271</v>
      </c>
    </row>
    <row r="636" spans="1:3" x14ac:dyDescent="0.35">
      <c r="A636" s="2" t="s">
        <v>64</v>
      </c>
      <c r="B636" s="2">
        <v>13112</v>
      </c>
      <c r="C636" s="2" t="s">
        <v>1272</v>
      </c>
    </row>
    <row r="637" spans="1:3" x14ac:dyDescent="0.35">
      <c r="A637" s="2" t="s">
        <v>64</v>
      </c>
      <c r="B637" s="2">
        <v>13113</v>
      </c>
      <c r="C637" s="2" t="s">
        <v>1273</v>
      </c>
    </row>
    <row r="638" spans="1:3" x14ac:dyDescent="0.35">
      <c r="A638" s="2" t="s">
        <v>64</v>
      </c>
      <c r="B638" s="2">
        <v>13114</v>
      </c>
      <c r="C638" s="2" t="s">
        <v>1274</v>
      </c>
    </row>
    <row r="639" spans="1:3" x14ac:dyDescent="0.35">
      <c r="A639" s="2" t="s">
        <v>64</v>
      </c>
      <c r="B639" s="2">
        <v>13115</v>
      </c>
      <c r="C639" s="2" t="s">
        <v>1275</v>
      </c>
    </row>
    <row r="640" spans="1:3" x14ac:dyDescent="0.35">
      <c r="A640" s="2" t="s">
        <v>64</v>
      </c>
      <c r="B640" s="2">
        <v>13116</v>
      </c>
      <c r="C640" s="2" t="s">
        <v>1276</v>
      </c>
    </row>
    <row r="641" spans="1:3" x14ac:dyDescent="0.35">
      <c r="A641" s="2" t="s">
        <v>64</v>
      </c>
      <c r="B641" s="2">
        <v>13117</v>
      </c>
      <c r="C641" s="2" t="s">
        <v>1277</v>
      </c>
    </row>
    <row r="642" spans="1:3" x14ac:dyDescent="0.35">
      <c r="A642" s="2" t="s">
        <v>64</v>
      </c>
      <c r="B642" s="2">
        <v>13118</v>
      </c>
      <c r="C642" s="2" t="s">
        <v>1278</v>
      </c>
    </row>
    <row r="643" spans="1:3" x14ac:dyDescent="0.35">
      <c r="A643" s="2" t="s">
        <v>64</v>
      </c>
      <c r="B643" s="2">
        <v>13119</v>
      </c>
      <c r="C643" s="2" t="s">
        <v>1279</v>
      </c>
    </row>
    <row r="644" spans="1:3" x14ac:dyDescent="0.35">
      <c r="A644" s="2" t="s">
        <v>64</v>
      </c>
      <c r="B644" s="2">
        <v>13121</v>
      </c>
      <c r="C644" s="2" t="s">
        <v>1280</v>
      </c>
    </row>
    <row r="645" spans="1:3" x14ac:dyDescent="0.35">
      <c r="A645" s="2" t="s">
        <v>64</v>
      </c>
      <c r="B645" s="2">
        <v>13122</v>
      </c>
      <c r="C645" s="2" t="s">
        <v>1281</v>
      </c>
    </row>
    <row r="646" spans="1:3" x14ac:dyDescent="0.35">
      <c r="A646" s="2" t="s">
        <v>64</v>
      </c>
      <c r="B646" s="2">
        <v>13123</v>
      </c>
      <c r="C646" s="2" t="s">
        <v>1282</v>
      </c>
    </row>
    <row r="647" spans="1:3" x14ac:dyDescent="0.35">
      <c r="A647" s="2" t="s">
        <v>64</v>
      </c>
      <c r="B647" s="2">
        <v>13124</v>
      </c>
      <c r="C647" s="2" t="s">
        <v>1283</v>
      </c>
    </row>
    <row r="648" spans="1:3" x14ac:dyDescent="0.35">
      <c r="A648" s="2" t="s">
        <v>64</v>
      </c>
      <c r="B648" s="2">
        <v>13125</v>
      </c>
      <c r="C648" s="2" t="s">
        <v>1284</v>
      </c>
    </row>
    <row r="649" spans="1:3" x14ac:dyDescent="0.35">
      <c r="A649" s="2" t="s">
        <v>64</v>
      </c>
      <c r="B649" s="2">
        <v>13126</v>
      </c>
      <c r="C649" s="2" t="s">
        <v>1285</v>
      </c>
    </row>
    <row r="650" spans="1:3" x14ac:dyDescent="0.35">
      <c r="A650" s="2" t="s">
        <v>64</v>
      </c>
      <c r="B650" s="2">
        <v>13127</v>
      </c>
      <c r="C650" s="2" t="s">
        <v>1286</v>
      </c>
    </row>
    <row r="651" spans="1:3" x14ac:dyDescent="0.35">
      <c r="A651" s="2" t="s">
        <v>64</v>
      </c>
      <c r="B651" s="2">
        <v>13128</v>
      </c>
      <c r="C651" s="2" t="s">
        <v>1287</v>
      </c>
    </row>
    <row r="652" spans="1:3" x14ac:dyDescent="0.35">
      <c r="A652" s="2" t="s">
        <v>64</v>
      </c>
      <c r="B652" s="2">
        <v>13129</v>
      </c>
      <c r="C652" s="2" t="s">
        <v>1288</v>
      </c>
    </row>
    <row r="653" spans="1:3" x14ac:dyDescent="0.35">
      <c r="A653" s="2" t="s">
        <v>64</v>
      </c>
      <c r="B653" s="2">
        <v>13130</v>
      </c>
      <c r="C653" s="2" t="s">
        <v>1289</v>
      </c>
    </row>
    <row r="654" spans="1:3" x14ac:dyDescent="0.35">
      <c r="A654" s="2" t="s">
        <v>64</v>
      </c>
      <c r="B654" s="2">
        <v>13131</v>
      </c>
      <c r="C654" s="2" t="s">
        <v>1290</v>
      </c>
    </row>
    <row r="655" spans="1:3" x14ac:dyDescent="0.35">
      <c r="A655" s="2" t="s">
        <v>64</v>
      </c>
      <c r="B655" s="2">
        <v>13132</v>
      </c>
      <c r="C655" s="2" t="s">
        <v>1291</v>
      </c>
    </row>
    <row r="656" spans="1:3" x14ac:dyDescent="0.35">
      <c r="A656" s="2" t="s">
        <v>64</v>
      </c>
      <c r="B656" s="2">
        <v>13201</v>
      </c>
      <c r="C656" s="2" t="s">
        <v>1292</v>
      </c>
    </row>
    <row r="657" spans="1:3" x14ac:dyDescent="0.35">
      <c r="A657" s="2" t="s">
        <v>64</v>
      </c>
      <c r="B657" s="2">
        <v>13202</v>
      </c>
      <c r="C657" s="2" t="s">
        <v>1293</v>
      </c>
    </row>
    <row r="658" spans="1:3" x14ac:dyDescent="0.35">
      <c r="A658" s="2" t="s">
        <v>64</v>
      </c>
      <c r="B658" s="2">
        <v>13203</v>
      </c>
      <c r="C658" s="2" t="s">
        <v>1294</v>
      </c>
    </row>
    <row r="659" spans="1:3" x14ac:dyDescent="0.35">
      <c r="A659" s="2" t="s">
        <v>64</v>
      </c>
      <c r="B659" s="2">
        <v>13301</v>
      </c>
      <c r="C659" s="2" t="s">
        <v>1295</v>
      </c>
    </row>
    <row r="660" spans="1:3" x14ac:dyDescent="0.35">
      <c r="A660" s="2" t="s">
        <v>64</v>
      </c>
      <c r="B660" s="2">
        <v>13302</v>
      </c>
      <c r="C660" s="2" t="s">
        <v>1296</v>
      </c>
    </row>
    <row r="661" spans="1:3" x14ac:dyDescent="0.35">
      <c r="A661" s="2" t="s">
        <v>64</v>
      </c>
      <c r="B661" s="2">
        <v>13303</v>
      </c>
      <c r="C661" s="2" t="s">
        <v>1297</v>
      </c>
    </row>
    <row r="662" spans="1:3" x14ac:dyDescent="0.35">
      <c r="A662" s="2" t="s">
        <v>64</v>
      </c>
      <c r="B662" s="2">
        <v>13401</v>
      </c>
      <c r="C662" s="2" t="s">
        <v>1298</v>
      </c>
    </row>
    <row r="663" spans="1:3" x14ac:dyDescent="0.35">
      <c r="A663" s="2" t="s">
        <v>64</v>
      </c>
      <c r="B663" s="2">
        <v>13402</v>
      </c>
      <c r="C663" s="2" t="s">
        <v>1299</v>
      </c>
    </row>
    <row r="664" spans="1:3" x14ac:dyDescent="0.35">
      <c r="A664" s="2" t="s">
        <v>64</v>
      </c>
      <c r="B664" s="2">
        <v>13403</v>
      </c>
      <c r="C664" s="2" t="s">
        <v>1300</v>
      </c>
    </row>
    <row r="665" spans="1:3" x14ac:dyDescent="0.35">
      <c r="A665" s="2" t="s">
        <v>64</v>
      </c>
      <c r="B665" s="2">
        <v>13404</v>
      </c>
      <c r="C665" s="2" t="s">
        <v>1301</v>
      </c>
    </row>
    <row r="666" spans="1:3" x14ac:dyDescent="0.35">
      <c r="A666" s="2" t="s">
        <v>64</v>
      </c>
      <c r="B666" s="2">
        <v>13501</v>
      </c>
      <c r="C666" s="2" t="s">
        <v>1302</v>
      </c>
    </row>
    <row r="667" spans="1:3" x14ac:dyDescent="0.35">
      <c r="A667" s="2" t="s">
        <v>64</v>
      </c>
      <c r="B667" s="2">
        <v>13502</v>
      </c>
      <c r="C667" s="2" t="s">
        <v>1303</v>
      </c>
    </row>
    <row r="668" spans="1:3" x14ac:dyDescent="0.35">
      <c r="A668" s="2" t="s">
        <v>64</v>
      </c>
      <c r="B668" s="2">
        <v>13503</v>
      </c>
      <c r="C668" s="2" t="s">
        <v>1304</v>
      </c>
    </row>
    <row r="669" spans="1:3" x14ac:dyDescent="0.35">
      <c r="A669" s="2" t="s">
        <v>64</v>
      </c>
      <c r="B669" s="2">
        <v>13504</v>
      </c>
      <c r="C669" s="2" t="s">
        <v>1305</v>
      </c>
    </row>
    <row r="670" spans="1:3" x14ac:dyDescent="0.35">
      <c r="A670" s="2" t="s">
        <v>64</v>
      </c>
      <c r="B670" s="2">
        <v>13505</v>
      </c>
      <c r="C670" s="2" t="s">
        <v>1306</v>
      </c>
    </row>
    <row r="671" spans="1:3" x14ac:dyDescent="0.35">
      <c r="A671" s="2" t="s">
        <v>64</v>
      </c>
      <c r="B671" s="2">
        <v>13601</v>
      </c>
      <c r="C671" s="2" t="s">
        <v>1307</v>
      </c>
    </row>
    <row r="672" spans="1:3" x14ac:dyDescent="0.35">
      <c r="A672" s="2" t="s">
        <v>64</v>
      </c>
      <c r="B672" s="2">
        <v>13602</v>
      </c>
      <c r="C672" s="2" t="s">
        <v>1308</v>
      </c>
    </row>
    <row r="673" spans="1:3" x14ac:dyDescent="0.35">
      <c r="A673" s="2" t="s">
        <v>64</v>
      </c>
      <c r="B673" s="2">
        <v>13603</v>
      </c>
      <c r="C673" s="2" t="s">
        <v>1309</v>
      </c>
    </row>
    <row r="674" spans="1:3" x14ac:dyDescent="0.35">
      <c r="A674" s="2" t="s">
        <v>64</v>
      </c>
      <c r="B674" s="2">
        <v>13604</v>
      </c>
      <c r="C674" s="2" t="s">
        <v>1310</v>
      </c>
    </row>
    <row r="675" spans="1:3" x14ac:dyDescent="0.35">
      <c r="A675" s="2" t="s">
        <v>64</v>
      </c>
      <c r="B675" s="2">
        <v>13605</v>
      </c>
      <c r="C675" s="2" t="s">
        <v>1311</v>
      </c>
    </row>
    <row r="676" spans="1:3" x14ac:dyDescent="0.35">
      <c r="A676" s="2" t="s">
        <v>64</v>
      </c>
      <c r="B676" s="2">
        <v>14101</v>
      </c>
      <c r="C676" s="2" t="s">
        <v>1312</v>
      </c>
    </row>
    <row r="677" spans="1:3" x14ac:dyDescent="0.35">
      <c r="A677" s="2" t="s">
        <v>64</v>
      </c>
      <c r="B677" s="2">
        <v>14102</v>
      </c>
      <c r="C677" s="2" t="s">
        <v>1313</v>
      </c>
    </row>
    <row r="678" spans="1:3" x14ac:dyDescent="0.35">
      <c r="A678" s="2" t="s">
        <v>64</v>
      </c>
      <c r="B678" s="2">
        <v>14103</v>
      </c>
      <c r="C678" s="2" t="s">
        <v>1314</v>
      </c>
    </row>
    <row r="679" spans="1:3" x14ac:dyDescent="0.35">
      <c r="A679" s="2" t="s">
        <v>64</v>
      </c>
      <c r="B679" s="2">
        <v>14104</v>
      </c>
      <c r="C679" s="2" t="s">
        <v>1315</v>
      </c>
    </row>
    <row r="680" spans="1:3" x14ac:dyDescent="0.35">
      <c r="A680" s="2" t="s">
        <v>64</v>
      </c>
      <c r="B680" s="2">
        <v>14105</v>
      </c>
      <c r="C680" s="2" t="s">
        <v>1316</v>
      </c>
    </row>
    <row r="681" spans="1:3" x14ac:dyDescent="0.35">
      <c r="A681" s="2" t="s">
        <v>64</v>
      </c>
      <c r="B681" s="2">
        <v>14106</v>
      </c>
      <c r="C681" s="2" t="s">
        <v>1317</v>
      </c>
    </row>
    <row r="682" spans="1:3" x14ac:dyDescent="0.35">
      <c r="A682" s="2" t="s">
        <v>64</v>
      </c>
      <c r="B682" s="2">
        <v>14107</v>
      </c>
      <c r="C682" s="2" t="s">
        <v>1318</v>
      </c>
    </row>
    <row r="683" spans="1:3" x14ac:dyDescent="0.35">
      <c r="A683" s="2" t="s">
        <v>64</v>
      </c>
      <c r="B683" s="2">
        <v>14108</v>
      </c>
      <c r="C683" s="2" t="s">
        <v>1319</v>
      </c>
    </row>
    <row r="684" spans="1:3" x14ac:dyDescent="0.35">
      <c r="A684" s="2" t="s">
        <v>64</v>
      </c>
      <c r="B684" s="2">
        <v>14201</v>
      </c>
      <c r="C684" s="2" t="s">
        <v>1320</v>
      </c>
    </row>
    <row r="685" spans="1:3" x14ac:dyDescent="0.35">
      <c r="A685" s="2" t="s">
        <v>64</v>
      </c>
      <c r="B685" s="2">
        <v>14202</v>
      </c>
      <c r="C685" s="2" t="s">
        <v>1321</v>
      </c>
    </row>
    <row r="686" spans="1:3" x14ac:dyDescent="0.35">
      <c r="A686" s="2" t="s">
        <v>64</v>
      </c>
      <c r="B686" s="2">
        <v>14203</v>
      </c>
      <c r="C686" s="2" t="s">
        <v>1322</v>
      </c>
    </row>
    <row r="687" spans="1:3" x14ac:dyDescent="0.35">
      <c r="A687" s="2" t="s">
        <v>64</v>
      </c>
      <c r="B687" s="2">
        <v>14204</v>
      </c>
      <c r="C687" s="2" t="s">
        <v>1323</v>
      </c>
    </row>
    <row r="688" spans="1:3" x14ac:dyDescent="0.35">
      <c r="A688" s="2" t="s">
        <v>64</v>
      </c>
      <c r="B688" s="2">
        <v>15101</v>
      </c>
      <c r="C688" s="2" t="s">
        <v>1324</v>
      </c>
    </row>
    <row r="689" spans="1:3" x14ac:dyDescent="0.35">
      <c r="A689" s="2" t="s">
        <v>64</v>
      </c>
      <c r="B689" s="2">
        <v>15102</v>
      </c>
      <c r="C689" s="2" t="s">
        <v>1325</v>
      </c>
    </row>
    <row r="690" spans="1:3" x14ac:dyDescent="0.35">
      <c r="A690" s="2" t="s">
        <v>64</v>
      </c>
      <c r="B690" s="2">
        <v>15201</v>
      </c>
      <c r="C690" s="2" t="s">
        <v>1326</v>
      </c>
    </row>
    <row r="691" spans="1:3" x14ac:dyDescent="0.35">
      <c r="A691" s="2" t="s">
        <v>64</v>
      </c>
      <c r="B691" s="2">
        <v>15202</v>
      </c>
      <c r="C691" s="2" t="s">
        <v>1327</v>
      </c>
    </row>
    <row r="692" spans="1:3" x14ac:dyDescent="0.35">
      <c r="A692" s="2" t="s">
        <v>162</v>
      </c>
      <c r="B692" s="2">
        <v>1101</v>
      </c>
      <c r="C692" s="2" t="s">
        <v>983</v>
      </c>
    </row>
    <row r="693" spans="1:3" x14ac:dyDescent="0.35">
      <c r="A693" s="2" t="s">
        <v>162</v>
      </c>
      <c r="B693" s="2">
        <v>1107</v>
      </c>
      <c r="C693" s="2" t="s">
        <v>984</v>
      </c>
    </row>
    <row r="694" spans="1:3" x14ac:dyDescent="0.35">
      <c r="A694" s="2" t="s">
        <v>162</v>
      </c>
      <c r="B694" s="2">
        <v>1401</v>
      </c>
      <c r="C694" s="2" t="s">
        <v>985</v>
      </c>
    </row>
    <row r="695" spans="1:3" x14ac:dyDescent="0.35">
      <c r="A695" s="2" t="s">
        <v>162</v>
      </c>
      <c r="B695" s="2">
        <v>1402</v>
      </c>
      <c r="C695" s="2" t="s">
        <v>986</v>
      </c>
    </row>
    <row r="696" spans="1:3" x14ac:dyDescent="0.35">
      <c r="A696" s="2" t="s">
        <v>162</v>
      </c>
      <c r="B696" s="2">
        <v>1403</v>
      </c>
      <c r="C696" s="2" t="s">
        <v>987</v>
      </c>
    </row>
    <row r="697" spans="1:3" x14ac:dyDescent="0.35">
      <c r="A697" s="2" t="s">
        <v>162</v>
      </c>
      <c r="B697" s="2">
        <v>1404</v>
      </c>
      <c r="C697" s="2" t="s">
        <v>988</v>
      </c>
    </row>
    <row r="698" spans="1:3" x14ac:dyDescent="0.35">
      <c r="A698" s="2" t="s">
        <v>162</v>
      </c>
      <c r="B698" s="2">
        <v>1405</v>
      </c>
      <c r="C698" s="2" t="s">
        <v>989</v>
      </c>
    </row>
    <row r="699" spans="1:3" x14ac:dyDescent="0.35">
      <c r="A699" s="2" t="s">
        <v>162</v>
      </c>
      <c r="B699" s="2">
        <v>2101</v>
      </c>
      <c r="C699" s="2" t="s">
        <v>990</v>
      </c>
    </row>
    <row r="700" spans="1:3" x14ac:dyDescent="0.35">
      <c r="A700" s="2" t="s">
        <v>162</v>
      </c>
      <c r="B700" s="2">
        <v>2102</v>
      </c>
      <c r="C700" s="2" t="s">
        <v>991</v>
      </c>
    </row>
    <row r="701" spans="1:3" x14ac:dyDescent="0.35">
      <c r="A701" s="2" t="s">
        <v>162</v>
      </c>
      <c r="B701" s="2">
        <v>2103</v>
      </c>
      <c r="C701" s="2" t="s">
        <v>992</v>
      </c>
    </row>
    <row r="702" spans="1:3" x14ac:dyDescent="0.35">
      <c r="A702" s="2" t="s">
        <v>162</v>
      </c>
      <c r="B702" s="2">
        <v>2104</v>
      </c>
      <c r="C702" s="2" t="s">
        <v>993</v>
      </c>
    </row>
    <row r="703" spans="1:3" x14ac:dyDescent="0.35">
      <c r="A703" s="2" t="s">
        <v>162</v>
      </c>
      <c r="B703" s="2">
        <v>2201</v>
      </c>
      <c r="C703" s="2" t="s">
        <v>994</v>
      </c>
    </row>
    <row r="704" spans="1:3" x14ac:dyDescent="0.35">
      <c r="A704" s="2" t="s">
        <v>162</v>
      </c>
      <c r="B704" s="2">
        <v>2202</v>
      </c>
      <c r="C704" s="2" t="s">
        <v>995</v>
      </c>
    </row>
    <row r="705" spans="1:3" x14ac:dyDescent="0.35">
      <c r="A705" s="2" t="s">
        <v>162</v>
      </c>
      <c r="B705" s="2">
        <v>2203</v>
      </c>
      <c r="C705" s="2" t="s">
        <v>996</v>
      </c>
    </row>
    <row r="706" spans="1:3" x14ac:dyDescent="0.35">
      <c r="A706" s="2" t="s">
        <v>162</v>
      </c>
      <c r="B706" s="2">
        <v>2301</v>
      </c>
      <c r="C706" s="2" t="s">
        <v>997</v>
      </c>
    </row>
    <row r="707" spans="1:3" x14ac:dyDescent="0.35">
      <c r="A707" s="2" t="s">
        <v>162</v>
      </c>
      <c r="B707" s="2">
        <v>2302</v>
      </c>
      <c r="C707" s="2" t="s">
        <v>998</v>
      </c>
    </row>
    <row r="708" spans="1:3" x14ac:dyDescent="0.35">
      <c r="A708" s="2" t="s">
        <v>162</v>
      </c>
      <c r="B708" s="2">
        <v>3101</v>
      </c>
      <c r="C708" s="2" t="s">
        <v>999</v>
      </c>
    </row>
    <row r="709" spans="1:3" x14ac:dyDescent="0.35">
      <c r="A709" s="2" t="s">
        <v>162</v>
      </c>
      <c r="B709" s="2">
        <v>3102</v>
      </c>
      <c r="C709" s="2" t="s">
        <v>1000</v>
      </c>
    </row>
    <row r="710" spans="1:3" x14ac:dyDescent="0.35">
      <c r="A710" s="2" t="s">
        <v>162</v>
      </c>
      <c r="B710" s="2">
        <v>3103</v>
      </c>
      <c r="C710" s="2" t="s">
        <v>1001</v>
      </c>
    </row>
    <row r="711" spans="1:3" x14ac:dyDescent="0.35">
      <c r="A711" s="2" t="s">
        <v>162</v>
      </c>
      <c r="B711" s="2">
        <v>3201</v>
      </c>
      <c r="C711" s="2" t="s">
        <v>1002</v>
      </c>
    </row>
    <row r="712" spans="1:3" x14ac:dyDescent="0.35">
      <c r="A712" s="2" t="s">
        <v>162</v>
      </c>
      <c r="B712" s="2">
        <v>3202</v>
      </c>
      <c r="C712" s="2" t="s">
        <v>1003</v>
      </c>
    </row>
    <row r="713" spans="1:3" x14ac:dyDescent="0.35">
      <c r="A713" s="2" t="s">
        <v>162</v>
      </c>
      <c r="B713" s="2">
        <v>3301</v>
      </c>
      <c r="C713" s="2" t="s">
        <v>1004</v>
      </c>
    </row>
    <row r="714" spans="1:3" x14ac:dyDescent="0.35">
      <c r="A714" s="2" t="s">
        <v>162</v>
      </c>
      <c r="B714" s="2">
        <v>3302</v>
      </c>
      <c r="C714" s="2" t="s">
        <v>1005</v>
      </c>
    </row>
    <row r="715" spans="1:3" x14ac:dyDescent="0.35">
      <c r="A715" s="2" t="s">
        <v>162</v>
      </c>
      <c r="B715" s="2">
        <v>3303</v>
      </c>
      <c r="C715" s="2" t="s">
        <v>1006</v>
      </c>
    </row>
    <row r="716" spans="1:3" x14ac:dyDescent="0.35">
      <c r="A716" s="2" t="s">
        <v>162</v>
      </c>
      <c r="B716" s="2">
        <v>3304</v>
      </c>
      <c r="C716" s="2" t="s">
        <v>1007</v>
      </c>
    </row>
    <row r="717" spans="1:3" x14ac:dyDescent="0.35">
      <c r="A717" s="2" t="s">
        <v>162</v>
      </c>
      <c r="B717" s="2">
        <v>4101</v>
      </c>
      <c r="C717" s="2" t="s">
        <v>1008</v>
      </c>
    </row>
    <row r="718" spans="1:3" x14ac:dyDescent="0.35">
      <c r="A718" s="2" t="s">
        <v>162</v>
      </c>
      <c r="B718" s="2">
        <v>4102</v>
      </c>
      <c r="C718" s="2" t="s">
        <v>1009</v>
      </c>
    </row>
    <row r="719" spans="1:3" x14ac:dyDescent="0.35">
      <c r="A719" s="2" t="s">
        <v>162</v>
      </c>
      <c r="B719" s="2">
        <v>4103</v>
      </c>
      <c r="C719" s="2" t="s">
        <v>1010</v>
      </c>
    </row>
    <row r="720" spans="1:3" x14ac:dyDescent="0.35">
      <c r="A720" s="2" t="s">
        <v>162</v>
      </c>
      <c r="B720" s="2">
        <v>4104</v>
      </c>
      <c r="C720" s="2" t="s">
        <v>1011</v>
      </c>
    </row>
    <row r="721" spans="1:3" x14ac:dyDescent="0.35">
      <c r="A721" s="2" t="s">
        <v>162</v>
      </c>
      <c r="B721" s="2">
        <v>4105</v>
      </c>
      <c r="C721" s="2" t="s">
        <v>1012</v>
      </c>
    </row>
    <row r="722" spans="1:3" x14ac:dyDescent="0.35">
      <c r="A722" s="2" t="s">
        <v>162</v>
      </c>
      <c r="B722" s="2">
        <v>4106</v>
      </c>
      <c r="C722" s="2" t="s">
        <v>1013</v>
      </c>
    </row>
    <row r="723" spans="1:3" x14ac:dyDescent="0.35">
      <c r="A723" s="2" t="s">
        <v>162</v>
      </c>
      <c r="B723" s="2">
        <v>4201</v>
      </c>
      <c r="C723" s="2" t="s">
        <v>1014</v>
      </c>
    </row>
    <row r="724" spans="1:3" x14ac:dyDescent="0.35">
      <c r="A724" s="2" t="s">
        <v>162</v>
      </c>
      <c r="B724" s="2">
        <v>4202</v>
      </c>
      <c r="C724" s="2" t="s">
        <v>1015</v>
      </c>
    </row>
    <row r="725" spans="1:3" x14ac:dyDescent="0.35">
      <c r="A725" s="2" t="s">
        <v>162</v>
      </c>
      <c r="B725" s="2">
        <v>4203</v>
      </c>
      <c r="C725" s="2" t="s">
        <v>1016</v>
      </c>
    </row>
    <row r="726" spans="1:3" x14ac:dyDescent="0.35">
      <c r="A726" s="2" t="s">
        <v>162</v>
      </c>
      <c r="B726" s="2">
        <v>4204</v>
      </c>
      <c r="C726" s="2" t="s">
        <v>1017</v>
      </c>
    </row>
    <row r="727" spans="1:3" x14ac:dyDescent="0.35">
      <c r="A727" s="2" t="s">
        <v>162</v>
      </c>
      <c r="B727" s="2">
        <v>4301</v>
      </c>
      <c r="C727" s="2" t="s">
        <v>1018</v>
      </c>
    </row>
    <row r="728" spans="1:3" x14ac:dyDescent="0.35">
      <c r="A728" s="2" t="s">
        <v>162</v>
      </c>
      <c r="B728" s="2">
        <v>4302</v>
      </c>
      <c r="C728" s="2" t="s">
        <v>1019</v>
      </c>
    </row>
    <row r="729" spans="1:3" x14ac:dyDescent="0.35">
      <c r="A729" s="2" t="s">
        <v>162</v>
      </c>
      <c r="B729" s="2">
        <v>4303</v>
      </c>
      <c r="C729" s="2" t="s">
        <v>1020</v>
      </c>
    </row>
    <row r="730" spans="1:3" x14ac:dyDescent="0.35">
      <c r="A730" s="2" t="s">
        <v>162</v>
      </c>
      <c r="B730" s="2">
        <v>4304</v>
      </c>
      <c r="C730" s="2" t="s">
        <v>1021</v>
      </c>
    </row>
    <row r="731" spans="1:3" x14ac:dyDescent="0.35">
      <c r="A731" s="2" t="s">
        <v>162</v>
      </c>
      <c r="B731" s="2">
        <v>4305</v>
      </c>
      <c r="C731" s="2" t="s">
        <v>1022</v>
      </c>
    </row>
    <row r="732" spans="1:3" x14ac:dyDescent="0.35">
      <c r="A732" s="2" t="s">
        <v>162</v>
      </c>
      <c r="B732" s="2">
        <v>5101</v>
      </c>
      <c r="C732" s="2" t="s">
        <v>1023</v>
      </c>
    </row>
    <row r="733" spans="1:3" x14ac:dyDescent="0.35">
      <c r="A733" s="2" t="s">
        <v>162</v>
      </c>
      <c r="B733" s="2">
        <v>5102</v>
      </c>
      <c r="C733" s="2" t="s">
        <v>1024</v>
      </c>
    </row>
    <row r="734" spans="1:3" x14ac:dyDescent="0.35">
      <c r="A734" s="2" t="s">
        <v>162</v>
      </c>
      <c r="B734" s="2">
        <v>5103</v>
      </c>
      <c r="C734" s="2" t="s">
        <v>1025</v>
      </c>
    </row>
    <row r="735" spans="1:3" x14ac:dyDescent="0.35">
      <c r="A735" s="2" t="s">
        <v>162</v>
      </c>
      <c r="B735" s="2">
        <v>5104</v>
      </c>
      <c r="C735" s="2" t="s">
        <v>1026</v>
      </c>
    </row>
    <row r="736" spans="1:3" x14ac:dyDescent="0.35">
      <c r="A736" s="2" t="s">
        <v>162</v>
      </c>
      <c r="B736" s="2">
        <v>5105</v>
      </c>
      <c r="C736" s="2" t="s">
        <v>1027</v>
      </c>
    </row>
    <row r="737" spans="1:3" x14ac:dyDescent="0.35">
      <c r="A737" s="2" t="s">
        <v>162</v>
      </c>
      <c r="B737" s="2">
        <v>5107</v>
      </c>
      <c r="C737" s="2" t="s">
        <v>1028</v>
      </c>
    </row>
    <row r="738" spans="1:3" x14ac:dyDescent="0.35">
      <c r="A738" s="2" t="s">
        <v>162</v>
      </c>
      <c r="B738" s="2">
        <v>5109</v>
      </c>
      <c r="C738" s="2" t="s">
        <v>1029</v>
      </c>
    </row>
    <row r="739" spans="1:3" x14ac:dyDescent="0.35">
      <c r="A739" s="2" t="s">
        <v>162</v>
      </c>
      <c r="B739" s="2">
        <v>5201</v>
      </c>
      <c r="C739" s="2" t="s">
        <v>1030</v>
      </c>
    </row>
    <row r="740" spans="1:3" x14ac:dyDescent="0.35">
      <c r="A740" s="2" t="s">
        <v>162</v>
      </c>
      <c r="B740" s="2">
        <v>5301</v>
      </c>
      <c r="C740" s="2" t="s">
        <v>1031</v>
      </c>
    </row>
    <row r="741" spans="1:3" x14ac:dyDescent="0.35">
      <c r="A741" s="2" t="s">
        <v>162</v>
      </c>
      <c r="B741" s="2">
        <v>5302</v>
      </c>
      <c r="C741" s="2" t="s">
        <v>1032</v>
      </c>
    </row>
    <row r="742" spans="1:3" x14ac:dyDescent="0.35">
      <c r="A742" s="2" t="s">
        <v>162</v>
      </c>
      <c r="B742" s="2">
        <v>5303</v>
      </c>
      <c r="C742" s="2" t="s">
        <v>1033</v>
      </c>
    </row>
    <row r="743" spans="1:3" x14ac:dyDescent="0.35">
      <c r="A743" s="2" t="s">
        <v>162</v>
      </c>
      <c r="B743" s="2">
        <v>5304</v>
      </c>
      <c r="C743" s="2" t="s">
        <v>1034</v>
      </c>
    </row>
    <row r="744" spans="1:3" x14ac:dyDescent="0.35">
      <c r="A744" s="2" t="s">
        <v>162</v>
      </c>
      <c r="B744" s="2">
        <v>5401</v>
      </c>
      <c r="C744" s="2" t="s">
        <v>1035</v>
      </c>
    </row>
    <row r="745" spans="1:3" x14ac:dyDescent="0.35">
      <c r="A745" s="2" t="s">
        <v>162</v>
      </c>
      <c r="B745" s="2">
        <v>5402</v>
      </c>
      <c r="C745" s="2" t="s">
        <v>1036</v>
      </c>
    </row>
    <row r="746" spans="1:3" x14ac:dyDescent="0.35">
      <c r="A746" s="2" t="s">
        <v>162</v>
      </c>
      <c r="B746" s="2">
        <v>5403</v>
      </c>
      <c r="C746" s="2" t="s">
        <v>1037</v>
      </c>
    </row>
    <row r="747" spans="1:3" x14ac:dyDescent="0.35">
      <c r="A747" s="2" t="s">
        <v>162</v>
      </c>
      <c r="B747" s="2">
        <v>5404</v>
      </c>
      <c r="C747" s="2" t="s">
        <v>1038</v>
      </c>
    </row>
    <row r="748" spans="1:3" x14ac:dyDescent="0.35">
      <c r="A748" s="2" t="s">
        <v>162</v>
      </c>
      <c r="B748" s="2">
        <v>5405</v>
      </c>
      <c r="C748" s="2" t="s">
        <v>1039</v>
      </c>
    </row>
    <row r="749" spans="1:3" x14ac:dyDescent="0.35">
      <c r="A749" s="2" t="s">
        <v>162</v>
      </c>
      <c r="B749" s="2">
        <v>5501</v>
      </c>
      <c r="C749" s="2" t="s">
        <v>1040</v>
      </c>
    </row>
    <row r="750" spans="1:3" x14ac:dyDescent="0.35">
      <c r="A750" s="2" t="s">
        <v>162</v>
      </c>
      <c r="B750" s="2">
        <v>5502</v>
      </c>
      <c r="C750" s="2" t="s">
        <v>1041</v>
      </c>
    </row>
    <row r="751" spans="1:3" x14ac:dyDescent="0.35">
      <c r="A751" s="2" t="s">
        <v>162</v>
      </c>
      <c r="B751" s="2">
        <v>5503</v>
      </c>
      <c r="C751" s="2" t="s">
        <v>1042</v>
      </c>
    </row>
    <row r="752" spans="1:3" x14ac:dyDescent="0.35">
      <c r="A752" s="2" t="s">
        <v>162</v>
      </c>
      <c r="B752" s="2">
        <v>5504</v>
      </c>
      <c r="C752" s="2" t="s">
        <v>1043</v>
      </c>
    </row>
    <row r="753" spans="1:3" x14ac:dyDescent="0.35">
      <c r="A753" s="2" t="s">
        <v>162</v>
      </c>
      <c r="B753" s="2">
        <v>5506</v>
      </c>
      <c r="C753" s="2" t="s">
        <v>1044</v>
      </c>
    </row>
    <row r="754" spans="1:3" x14ac:dyDescent="0.35">
      <c r="A754" s="2" t="s">
        <v>162</v>
      </c>
      <c r="B754" s="2">
        <v>5601</v>
      </c>
      <c r="C754" s="2" t="s">
        <v>1045</v>
      </c>
    </row>
    <row r="755" spans="1:3" x14ac:dyDescent="0.35">
      <c r="A755" s="2" t="s">
        <v>162</v>
      </c>
      <c r="B755" s="2">
        <v>5602</v>
      </c>
      <c r="C755" s="2" t="s">
        <v>1046</v>
      </c>
    </row>
    <row r="756" spans="1:3" x14ac:dyDescent="0.35">
      <c r="A756" s="2" t="s">
        <v>162</v>
      </c>
      <c r="B756" s="2">
        <v>5603</v>
      </c>
      <c r="C756" s="2" t="s">
        <v>1047</v>
      </c>
    </row>
    <row r="757" spans="1:3" x14ac:dyDescent="0.35">
      <c r="A757" s="2" t="s">
        <v>162</v>
      </c>
      <c r="B757" s="2">
        <v>5604</v>
      </c>
      <c r="C757" s="2" t="s">
        <v>1048</v>
      </c>
    </row>
    <row r="758" spans="1:3" x14ac:dyDescent="0.35">
      <c r="A758" s="2" t="s">
        <v>162</v>
      </c>
      <c r="B758" s="2">
        <v>5605</v>
      </c>
      <c r="C758" s="2" t="s">
        <v>1049</v>
      </c>
    </row>
    <row r="759" spans="1:3" x14ac:dyDescent="0.35">
      <c r="A759" s="2" t="s">
        <v>162</v>
      </c>
      <c r="B759" s="2">
        <v>5606</v>
      </c>
      <c r="C759" s="2" t="s">
        <v>1050</v>
      </c>
    </row>
    <row r="760" spans="1:3" x14ac:dyDescent="0.35">
      <c r="A760" s="2" t="s">
        <v>162</v>
      </c>
      <c r="B760" s="2">
        <v>5701</v>
      </c>
      <c r="C760" s="2" t="s">
        <v>1051</v>
      </c>
    </row>
    <row r="761" spans="1:3" x14ac:dyDescent="0.35">
      <c r="A761" s="2" t="s">
        <v>162</v>
      </c>
      <c r="B761" s="2">
        <v>5702</v>
      </c>
      <c r="C761" s="2" t="s">
        <v>1052</v>
      </c>
    </row>
    <row r="762" spans="1:3" x14ac:dyDescent="0.35">
      <c r="A762" s="2" t="s">
        <v>162</v>
      </c>
      <c r="B762" s="2">
        <v>5703</v>
      </c>
      <c r="C762" s="2" t="s">
        <v>1053</v>
      </c>
    </row>
    <row r="763" spans="1:3" x14ac:dyDescent="0.35">
      <c r="A763" s="2" t="s">
        <v>162</v>
      </c>
      <c r="B763" s="2">
        <v>5704</v>
      </c>
      <c r="C763" s="2" t="s">
        <v>1054</v>
      </c>
    </row>
    <row r="764" spans="1:3" x14ac:dyDescent="0.35">
      <c r="A764" s="2" t="s">
        <v>162</v>
      </c>
      <c r="B764" s="2">
        <v>5705</v>
      </c>
      <c r="C764" s="2" t="s">
        <v>1055</v>
      </c>
    </row>
    <row r="765" spans="1:3" x14ac:dyDescent="0.35">
      <c r="A765" s="2" t="s">
        <v>162</v>
      </c>
      <c r="B765" s="2">
        <v>5706</v>
      </c>
      <c r="C765" s="2" t="s">
        <v>1056</v>
      </c>
    </row>
    <row r="766" spans="1:3" x14ac:dyDescent="0.35">
      <c r="A766" s="2" t="s">
        <v>162</v>
      </c>
      <c r="B766" s="2">
        <v>5801</v>
      </c>
      <c r="C766" s="2" t="s">
        <v>1057</v>
      </c>
    </row>
    <row r="767" spans="1:3" x14ac:dyDescent="0.35">
      <c r="A767" s="2" t="s">
        <v>162</v>
      </c>
      <c r="B767" s="2">
        <v>5802</v>
      </c>
      <c r="C767" s="2" t="s">
        <v>1058</v>
      </c>
    </row>
    <row r="768" spans="1:3" x14ac:dyDescent="0.35">
      <c r="A768" s="2" t="s">
        <v>162</v>
      </c>
      <c r="B768" s="2">
        <v>5803</v>
      </c>
      <c r="C768" s="2" t="s">
        <v>1059</v>
      </c>
    </row>
    <row r="769" spans="1:3" x14ac:dyDescent="0.35">
      <c r="A769" s="2" t="s">
        <v>162</v>
      </c>
      <c r="B769" s="2">
        <v>5804</v>
      </c>
      <c r="C769" s="2" t="s">
        <v>1060</v>
      </c>
    </row>
    <row r="770" spans="1:3" x14ac:dyDescent="0.35">
      <c r="A770" s="2" t="s">
        <v>162</v>
      </c>
      <c r="B770" s="2">
        <v>6101</v>
      </c>
      <c r="C770" s="2" t="s">
        <v>1061</v>
      </c>
    </row>
    <row r="771" spans="1:3" x14ac:dyDescent="0.35">
      <c r="A771" s="2" t="s">
        <v>162</v>
      </c>
      <c r="B771" s="2">
        <v>6102</v>
      </c>
      <c r="C771" s="2" t="s">
        <v>1062</v>
      </c>
    </row>
    <row r="772" spans="1:3" x14ac:dyDescent="0.35">
      <c r="A772" s="2" t="s">
        <v>162</v>
      </c>
      <c r="B772" s="2">
        <v>6103</v>
      </c>
      <c r="C772" s="2" t="s">
        <v>1063</v>
      </c>
    </row>
    <row r="773" spans="1:3" x14ac:dyDescent="0.35">
      <c r="A773" s="2" t="s">
        <v>162</v>
      </c>
      <c r="B773" s="2">
        <v>6104</v>
      </c>
      <c r="C773" s="2" t="s">
        <v>1064</v>
      </c>
    </row>
    <row r="774" spans="1:3" x14ac:dyDescent="0.35">
      <c r="A774" s="2" t="s">
        <v>162</v>
      </c>
      <c r="B774" s="2">
        <v>6105</v>
      </c>
      <c r="C774" s="2" t="s">
        <v>1065</v>
      </c>
    </row>
    <row r="775" spans="1:3" x14ac:dyDescent="0.35">
      <c r="A775" s="2" t="s">
        <v>162</v>
      </c>
      <c r="B775" s="2">
        <v>6106</v>
      </c>
      <c r="C775" s="2" t="s">
        <v>1066</v>
      </c>
    </row>
    <row r="776" spans="1:3" x14ac:dyDescent="0.35">
      <c r="A776" s="2" t="s">
        <v>162</v>
      </c>
      <c r="B776" s="2">
        <v>6107</v>
      </c>
      <c r="C776" s="2" t="s">
        <v>1067</v>
      </c>
    </row>
    <row r="777" spans="1:3" x14ac:dyDescent="0.35">
      <c r="A777" s="2" t="s">
        <v>162</v>
      </c>
      <c r="B777" s="2">
        <v>6108</v>
      </c>
      <c r="C777" s="2" t="s">
        <v>1068</v>
      </c>
    </row>
    <row r="778" spans="1:3" x14ac:dyDescent="0.35">
      <c r="A778" s="2" t="s">
        <v>162</v>
      </c>
      <c r="B778" s="2">
        <v>6109</v>
      </c>
      <c r="C778" s="2" t="s">
        <v>1069</v>
      </c>
    </row>
    <row r="779" spans="1:3" x14ac:dyDescent="0.35">
      <c r="A779" s="2" t="s">
        <v>162</v>
      </c>
      <c r="B779" s="2">
        <v>6110</v>
      </c>
      <c r="C779" s="2" t="s">
        <v>1070</v>
      </c>
    </row>
    <row r="780" spans="1:3" x14ac:dyDescent="0.35">
      <c r="A780" s="2" t="s">
        <v>162</v>
      </c>
      <c r="B780" s="2">
        <v>6111</v>
      </c>
      <c r="C780" s="2" t="s">
        <v>1071</v>
      </c>
    </row>
    <row r="781" spans="1:3" x14ac:dyDescent="0.35">
      <c r="A781" s="2" t="s">
        <v>162</v>
      </c>
      <c r="B781" s="2">
        <v>6112</v>
      </c>
      <c r="C781" s="2" t="s">
        <v>1072</v>
      </c>
    </row>
    <row r="782" spans="1:3" x14ac:dyDescent="0.35">
      <c r="A782" s="2" t="s">
        <v>162</v>
      </c>
      <c r="B782" s="2">
        <v>6113</v>
      </c>
      <c r="C782" s="2" t="s">
        <v>1073</v>
      </c>
    </row>
    <row r="783" spans="1:3" x14ac:dyDescent="0.35">
      <c r="A783" s="2" t="s">
        <v>162</v>
      </c>
      <c r="B783" s="2">
        <v>6114</v>
      </c>
      <c r="C783" s="2" t="s">
        <v>1074</v>
      </c>
    </row>
    <row r="784" spans="1:3" x14ac:dyDescent="0.35">
      <c r="A784" s="2" t="s">
        <v>162</v>
      </c>
      <c r="B784" s="2">
        <v>6115</v>
      </c>
      <c r="C784" s="2" t="s">
        <v>1075</v>
      </c>
    </row>
    <row r="785" spans="1:3" x14ac:dyDescent="0.35">
      <c r="A785" s="2" t="s">
        <v>162</v>
      </c>
      <c r="B785" s="2">
        <v>6116</v>
      </c>
      <c r="C785" s="2" t="s">
        <v>1076</v>
      </c>
    </row>
    <row r="786" spans="1:3" x14ac:dyDescent="0.35">
      <c r="A786" s="2" t="s">
        <v>162</v>
      </c>
      <c r="B786" s="2">
        <v>6117</v>
      </c>
      <c r="C786" s="2" t="s">
        <v>1077</v>
      </c>
    </row>
    <row r="787" spans="1:3" x14ac:dyDescent="0.35">
      <c r="A787" s="2" t="s">
        <v>162</v>
      </c>
      <c r="B787" s="2">
        <v>6201</v>
      </c>
      <c r="C787" s="2" t="s">
        <v>1078</v>
      </c>
    </row>
    <row r="788" spans="1:3" x14ac:dyDescent="0.35">
      <c r="A788" s="2" t="s">
        <v>162</v>
      </c>
      <c r="B788" s="2">
        <v>6202</v>
      </c>
      <c r="C788" s="2" t="s">
        <v>1079</v>
      </c>
    </row>
    <row r="789" spans="1:3" x14ac:dyDescent="0.35">
      <c r="A789" s="2" t="s">
        <v>162</v>
      </c>
      <c r="B789" s="2">
        <v>6203</v>
      </c>
      <c r="C789" s="2" t="s">
        <v>1080</v>
      </c>
    </row>
    <row r="790" spans="1:3" x14ac:dyDescent="0.35">
      <c r="A790" s="2" t="s">
        <v>162</v>
      </c>
      <c r="B790" s="2">
        <v>6204</v>
      </c>
      <c r="C790" s="2" t="s">
        <v>1081</v>
      </c>
    </row>
    <row r="791" spans="1:3" x14ac:dyDescent="0.35">
      <c r="A791" s="2" t="s">
        <v>162</v>
      </c>
      <c r="B791" s="2">
        <v>6205</v>
      </c>
      <c r="C791" s="2" t="s">
        <v>1082</v>
      </c>
    </row>
    <row r="792" spans="1:3" x14ac:dyDescent="0.35">
      <c r="A792" s="2" t="s">
        <v>162</v>
      </c>
      <c r="B792" s="2">
        <v>6206</v>
      </c>
      <c r="C792" s="2" t="s">
        <v>1083</v>
      </c>
    </row>
    <row r="793" spans="1:3" x14ac:dyDescent="0.35">
      <c r="A793" s="2" t="s">
        <v>162</v>
      </c>
      <c r="B793" s="2">
        <v>6301</v>
      </c>
      <c r="C793" s="2" t="s">
        <v>1084</v>
      </c>
    </row>
    <row r="794" spans="1:3" x14ac:dyDescent="0.35">
      <c r="A794" s="2" t="s">
        <v>162</v>
      </c>
      <c r="B794" s="2">
        <v>6302</v>
      </c>
      <c r="C794" s="2" t="s">
        <v>1085</v>
      </c>
    </row>
    <row r="795" spans="1:3" x14ac:dyDescent="0.35">
      <c r="A795" s="2" t="s">
        <v>162</v>
      </c>
      <c r="B795" s="2">
        <v>6303</v>
      </c>
      <c r="C795" s="2" t="s">
        <v>1086</v>
      </c>
    </row>
    <row r="796" spans="1:3" x14ac:dyDescent="0.35">
      <c r="A796" s="2" t="s">
        <v>162</v>
      </c>
      <c r="B796" s="2">
        <v>6304</v>
      </c>
      <c r="C796" s="2" t="s">
        <v>1087</v>
      </c>
    </row>
    <row r="797" spans="1:3" x14ac:dyDescent="0.35">
      <c r="A797" s="2" t="s">
        <v>162</v>
      </c>
      <c r="B797" s="2">
        <v>6305</v>
      </c>
      <c r="C797" s="2" t="s">
        <v>1088</v>
      </c>
    </row>
    <row r="798" spans="1:3" x14ac:dyDescent="0.35">
      <c r="A798" s="2" t="s">
        <v>162</v>
      </c>
      <c r="B798" s="2">
        <v>6306</v>
      </c>
      <c r="C798" s="2" t="s">
        <v>1089</v>
      </c>
    </row>
    <row r="799" spans="1:3" x14ac:dyDescent="0.35">
      <c r="A799" s="2" t="s">
        <v>162</v>
      </c>
      <c r="B799" s="2">
        <v>6307</v>
      </c>
      <c r="C799" s="2" t="s">
        <v>1090</v>
      </c>
    </row>
    <row r="800" spans="1:3" x14ac:dyDescent="0.35">
      <c r="A800" s="2" t="s">
        <v>162</v>
      </c>
      <c r="B800" s="2">
        <v>6308</v>
      </c>
      <c r="C800" s="2" t="s">
        <v>1091</v>
      </c>
    </row>
    <row r="801" spans="1:3" x14ac:dyDescent="0.35">
      <c r="A801" s="2" t="s">
        <v>162</v>
      </c>
      <c r="B801" s="2">
        <v>6309</v>
      </c>
      <c r="C801" s="2" t="s">
        <v>1092</v>
      </c>
    </row>
    <row r="802" spans="1:3" x14ac:dyDescent="0.35">
      <c r="A802" s="2" t="s">
        <v>162</v>
      </c>
      <c r="B802" s="2">
        <v>6310</v>
      </c>
      <c r="C802" s="2" t="s">
        <v>1093</v>
      </c>
    </row>
    <row r="803" spans="1:3" x14ac:dyDescent="0.35">
      <c r="A803" s="2" t="s">
        <v>162</v>
      </c>
      <c r="B803" s="2">
        <v>7101</v>
      </c>
      <c r="C803" s="2" t="s">
        <v>1094</v>
      </c>
    </row>
    <row r="804" spans="1:3" x14ac:dyDescent="0.35">
      <c r="A804" s="2" t="s">
        <v>162</v>
      </c>
      <c r="B804" s="2">
        <v>7102</v>
      </c>
      <c r="C804" s="2" t="s">
        <v>1095</v>
      </c>
    </row>
    <row r="805" spans="1:3" x14ac:dyDescent="0.35">
      <c r="A805" s="2" t="s">
        <v>162</v>
      </c>
      <c r="B805" s="2">
        <v>7103</v>
      </c>
      <c r="C805" s="2" t="s">
        <v>1096</v>
      </c>
    </row>
    <row r="806" spans="1:3" x14ac:dyDescent="0.35">
      <c r="A806" s="2" t="s">
        <v>162</v>
      </c>
      <c r="B806" s="2">
        <v>7104</v>
      </c>
      <c r="C806" s="2" t="s">
        <v>1097</v>
      </c>
    </row>
    <row r="807" spans="1:3" x14ac:dyDescent="0.35">
      <c r="A807" s="2" t="s">
        <v>162</v>
      </c>
      <c r="B807" s="2">
        <v>7105</v>
      </c>
      <c r="C807" s="2" t="s">
        <v>1098</v>
      </c>
    </row>
    <row r="808" spans="1:3" x14ac:dyDescent="0.35">
      <c r="A808" s="2" t="s">
        <v>162</v>
      </c>
      <c r="B808" s="2">
        <v>7106</v>
      </c>
      <c r="C808" s="2" t="s">
        <v>1099</v>
      </c>
    </row>
    <row r="809" spans="1:3" x14ac:dyDescent="0.35">
      <c r="A809" s="2" t="s">
        <v>162</v>
      </c>
      <c r="B809" s="2">
        <v>7107</v>
      </c>
      <c r="C809" s="2" t="s">
        <v>1100</v>
      </c>
    </row>
    <row r="810" spans="1:3" x14ac:dyDescent="0.35">
      <c r="A810" s="2" t="s">
        <v>162</v>
      </c>
      <c r="B810" s="2">
        <v>7108</v>
      </c>
      <c r="C810" s="2" t="s">
        <v>1101</v>
      </c>
    </row>
    <row r="811" spans="1:3" x14ac:dyDescent="0.35">
      <c r="A811" s="2" t="s">
        <v>162</v>
      </c>
      <c r="B811" s="2">
        <v>7109</v>
      </c>
      <c r="C811" s="2" t="s">
        <v>1102</v>
      </c>
    </row>
    <row r="812" spans="1:3" x14ac:dyDescent="0.35">
      <c r="A812" s="2" t="s">
        <v>162</v>
      </c>
      <c r="B812" s="2">
        <v>7110</v>
      </c>
      <c r="C812" s="2" t="s">
        <v>1103</v>
      </c>
    </row>
    <row r="813" spans="1:3" x14ac:dyDescent="0.35">
      <c r="A813" s="2" t="s">
        <v>162</v>
      </c>
      <c r="B813" s="2">
        <v>7201</v>
      </c>
      <c r="C813" s="2" t="s">
        <v>1104</v>
      </c>
    </row>
    <row r="814" spans="1:3" x14ac:dyDescent="0.35">
      <c r="A814" s="2" t="s">
        <v>162</v>
      </c>
      <c r="B814" s="2">
        <v>7202</v>
      </c>
      <c r="C814" s="2" t="s">
        <v>1105</v>
      </c>
    </row>
    <row r="815" spans="1:3" x14ac:dyDescent="0.35">
      <c r="A815" s="2" t="s">
        <v>162</v>
      </c>
      <c r="B815" s="2">
        <v>7203</v>
      </c>
      <c r="C815" s="2" t="s">
        <v>1106</v>
      </c>
    </row>
    <row r="816" spans="1:3" x14ac:dyDescent="0.35">
      <c r="A816" s="2" t="s">
        <v>162</v>
      </c>
      <c r="B816" s="2">
        <v>7301</v>
      </c>
      <c r="C816" s="2" t="s">
        <v>1107</v>
      </c>
    </row>
    <row r="817" spans="1:3" x14ac:dyDescent="0.35">
      <c r="A817" s="2" t="s">
        <v>162</v>
      </c>
      <c r="B817" s="2">
        <v>7302</v>
      </c>
      <c r="C817" s="2" t="s">
        <v>1108</v>
      </c>
    </row>
    <row r="818" spans="1:3" x14ac:dyDescent="0.35">
      <c r="A818" s="2" t="s">
        <v>162</v>
      </c>
      <c r="B818" s="2">
        <v>7303</v>
      </c>
      <c r="C818" s="2" t="s">
        <v>1109</v>
      </c>
    </row>
    <row r="819" spans="1:3" x14ac:dyDescent="0.35">
      <c r="A819" s="2" t="s">
        <v>162</v>
      </c>
      <c r="B819" s="2">
        <v>7304</v>
      </c>
      <c r="C819" s="2" t="s">
        <v>1110</v>
      </c>
    </row>
    <row r="820" spans="1:3" x14ac:dyDescent="0.35">
      <c r="A820" s="2" t="s">
        <v>162</v>
      </c>
      <c r="B820" s="2">
        <v>7305</v>
      </c>
      <c r="C820" s="2" t="s">
        <v>1111</v>
      </c>
    </row>
    <row r="821" spans="1:3" x14ac:dyDescent="0.35">
      <c r="A821" s="2" t="s">
        <v>162</v>
      </c>
      <c r="B821" s="2">
        <v>7306</v>
      </c>
      <c r="C821" s="2" t="s">
        <v>1112</v>
      </c>
    </row>
    <row r="822" spans="1:3" x14ac:dyDescent="0.35">
      <c r="A822" s="2" t="s">
        <v>162</v>
      </c>
      <c r="B822" s="2">
        <v>7307</v>
      </c>
      <c r="C822" s="2" t="s">
        <v>1113</v>
      </c>
    </row>
    <row r="823" spans="1:3" x14ac:dyDescent="0.35">
      <c r="A823" s="2" t="s">
        <v>162</v>
      </c>
      <c r="B823" s="2">
        <v>7308</v>
      </c>
      <c r="C823" s="2" t="s">
        <v>1114</v>
      </c>
    </row>
    <row r="824" spans="1:3" x14ac:dyDescent="0.35">
      <c r="A824" s="2" t="s">
        <v>162</v>
      </c>
      <c r="B824" s="2">
        <v>7309</v>
      </c>
      <c r="C824" s="2" t="s">
        <v>1115</v>
      </c>
    </row>
    <row r="825" spans="1:3" x14ac:dyDescent="0.35">
      <c r="A825" s="2" t="s">
        <v>162</v>
      </c>
      <c r="B825" s="2">
        <v>7401</v>
      </c>
      <c r="C825" s="2" t="s">
        <v>1116</v>
      </c>
    </row>
    <row r="826" spans="1:3" x14ac:dyDescent="0.35">
      <c r="A826" s="2" t="s">
        <v>162</v>
      </c>
      <c r="B826" s="2">
        <v>7402</v>
      </c>
      <c r="C826" s="2" t="s">
        <v>1117</v>
      </c>
    </row>
    <row r="827" spans="1:3" x14ac:dyDescent="0.35">
      <c r="A827" s="2" t="s">
        <v>162</v>
      </c>
      <c r="B827" s="2">
        <v>7403</v>
      </c>
      <c r="C827" s="2" t="s">
        <v>1118</v>
      </c>
    </row>
    <row r="828" spans="1:3" x14ac:dyDescent="0.35">
      <c r="A828" s="2" t="s">
        <v>162</v>
      </c>
      <c r="B828" s="2">
        <v>7404</v>
      </c>
      <c r="C828" s="2" t="s">
        <v>1119</v>
      </c>
    </row>
    <row r="829" spans="1:3" x14ac:dyDescent="0.35">
      <c r="A829" s="2" t="s">
        <v>162</v>
      </c>
      <c r="B829" s="2">
        <v>7405</v>
      </c>
      <c r="C829" s="2" t="s">
        <v>1120</v>
      </c>
    </row>
    <row r="830" spans="1:3" x14ac:dyDescent="0.35">
      <c r="A830" s="2" t="s">
        <v>162</v>
      </c>
      <c r="B830" s="2">
        <v>7406</v>
      </c>
      <c r="C830" s="2" t="s">
        <v>1121</v>
      </c>
    </row>
    <row r="831" spans="1:3" x14ac:dyDescent="0.35">
      <c r="A831" s="2" t="s">
        <v>162</v>
      </c>
      <c r="B831" s="2">
        <v>7407</v>
      </c>
      <c r="C831" s="2" t="s">
        <v>1122</v>
      </c>
    </row>
    <row r="832" spans="1:3" x14ac:dyDescent="0.35">
      <c r="A832" s="2" t="s">
        <v>162</v>
      </c>
      <c r="B832" s="2">
        <v>7408</v>
      </c>
      <c r="C832" s="2" t="s">
        <v>1123</v>
      </c>
    </row>
    <row r="833" spans="1:3" x14ac:dyDescent="0.35">
      <c r="A833" s="2" t="s">
        <v>162</v>
      </c>
      <c r="B833" s="2">
        <v>8101</v>
      </c>
      <c r="C833" s="2" t="s">
        <v>1124</v>
      </c>
    </row>
    <row r="834" spans="1:3" x14ac:dyDescent="0.35">
      <c r="A834" s="2" t="s">
        <v>162</v>
      </c>
      <c r="B834" s="2">
        <v>8102</v>
      </c>
      <c r="C834" s="2" t="s">
        <v>1125</v>
      </c>
    </row>
    <row r="835" spans="1:3" x14ac:dyDescent="0.35">
      <c r="A835" s="2" t="s">
        <v>162</v>
      </c>
      <c r="B835" s="2">
        <v>8103</v>
      </c>
      <c r="C835" s="2" t="s">
        <v>1126</v>
      </c>
    </row>
    <row r="836" spans="1:3" x14ac:dyDescent="0.35">
      <c r="A836" s="2" t="s">
        <v>162</v>
      </c>
      <c r="B836" s="2">
        <v>8104</v>
      </c>
      <c r="C836" s="2" t="s">
        <v>1127</v>
      </c>
    </row>
    <row r="837" spans="1:3" x14ac:dyDescent="0.35">
      <c r="A837" s="2" t="s">
        <v>162</v>
      </c>
      <c r="B837" s="2">
        <v>8105</v>
      </c>
      <c r="C837" s="2" t="s">
        <v>1128</v>
      </c>
    </row>
    <row r="838" spans="1:3" x14ac:dyDescent="0.35">
      <c r="A838" s="2" t="s">
        <v>162</v>
      </c>
      <c r="B838" s="2">
        <v>8106</v>
      </c>
      <c r="C838" s="2" t="s">
        <v>1129</v>
      </c>
    </row>
    <row r="839" spans="1:3" x14ac:dyDescent="0.35">
      <c r="A839" s="2" t="s">
        <v>162</v>
      </c>
      <c r="B839" s="2">
        <v>8107</v>
      </c>
      <c r="C839" s="2" t="s">
        <v>1130</v>
      </c>
    </row>
    <row r="840" spans="1:3" x14ac:dyDescent="0.35">
      <c r="A840" s="2" t="s">
        <v>162</v>
      </c>
      <c r="B840" s="2">
        <v>8108</v>
      </c>
      <c r="C840" s="2" t="s">
        <v>1131</v>
      </c>
    </row>
    <row r="841" spans="1:3" x14ac:dyDescent="0.35">
      <c r="A841" s="2" t="s">
        <v>162</v>
      </c>
      <c r="B841" s="2">
        <v>8109</v>
      </c>
      <c r="C841" s="2" t="s">
        <v>1132</v>
      </c>
    </row>
    <row r="842" spans="1:3" x14ac:dyDescent="0.35">
      <c r="A842" s="2" t="s">
        <v>162</v>
      </c>
      <c r="B842" s="2">
        <v>8110</v>
      </c>
      <c r="C842" s="2" t="s">
        <v>1133</v>
      </c>
    </row>
    <row r="843" spans="1:3" x14ac:dyDescent="0.35">
      <c r="A843" s="2" t="s">
        <v>162</v>
      </c>
      <c r="B843" s="2">
        <v>8111</v>
      </c>
      <c r="C843" s="2" t="s">
        <v>1134</v>
      </c>
    </row>
    <row r="844" spans="1:3" x14ac:dyDescent="0.35">
      <c r="A844" s="2" t="s">
        <v>162</v>
      </c>
      <c r="B844" s="2">
        <v>8112</v>
      </c>
      <c r="C844" s="2" t="s">
        <v>1135</v>
      </c>
    </row>
    <row r="845" spans="1:3" x14ac:dyDescent="0.35">
      <c r="A845" s="2" t="s">
        <v>162</v>
      </c>
      <c r="B845" s="2">
        <v>8201</v>
      </c>
      <c r="C845" s="2" t="s">
        <v>1136</v>
      </c>
    </row>
    <row r="846" spans="1:3" x14ac:dyDescent="0.35">
      <c r="A846" s="2" t="s">
        <v>162</v>
      </c>
      <c r="B846" s="2">
        <v>8202</v>
      </c>
      <c r="C846" s="2" t="s">
        <v>1137</v>
      </c>
    </row>
    <row r="847" spans="1:3" x14ac:dyDescent="0.35">
      <c r="A847" s="2" t="s">
        <v>162</v>
      </c>
      <c r="B847" s="2">
        <v>8203</v>
      </c>
      <c r="C847" s="2" t="s">
        <v>1138</v>
      </c>
    </row>
    <row r="848" spans="1:3" x14ac:dyDescent="0.35">
      <c r="A848" s="2" t="s">
        <v>162</v>
      </c>
      <c r="B848" s="2">
        <v>8204</v>
      </c>
      <c r="C848" s="2" t="s">
        <v>1139</v>
      </c>
    </row>
    <row r="849" spans="1:3" x14ac:dyDescent="0.35">
      <c r="A849" s="2" t="s">
        <v>162</v>
      </c>
      <c r="B849" s="2">
        <v>8205</v>
      </c>
      <c r="C849" s="2" t="s">
        <v>1140</v>
      </c>
    </row>
    <row r="850" spans="1:3" x14ac:dyDescent="0.35">
      <c r="A850" s="2" t="s">
        <v>162</v>
      </c>
      <c r="B850" s="2">
        <v>8206</v>
      </c>
      <c r="C850" s="2" t="s">
        <v>1141</v>
      </c>
    </row>
    <row r="851" spans="1:3" x14ac:dyDescent="0.35">
      <c r="A851" s="2" t="s">
        <v>162</v>
      </c>
      <c r="B851" s="2">
        <v>8207</v>
      </c>
      <c r="C851" s="2" t="s">
        <v>1142</v>
      </c>
    </row>
    <row r="852" spans="1:3" x14ac:dyDescent="0.35">
      <c r="A852" s="2" t="s">
        <v>162</v>
      </c>
      <c r="B852" s="2">
        <v>8301</v>
      </c>
      <c r="C852" s="2" t="s">
        <v>1143</v>
      </c>
    </row>
    <row r="853" spans="1:3" x14ac:dyDescent="0.35">
      <c r="A853" s="2" t="s">
        <v>162</v>
      </c>
      <c r="B853" s="2">
        <v>8302</v>
      </c>
      <c r="C853" s="2" t="s">
        <v>1144</v>
      </c>
    </row>
    <row r="854" spans="1:3" x14ac:dyDescent="0.35">
      <c r="A854" s="2" t="s">
        <v>162</v>
      </c>
      <c r="B854" s="2">
        <v>8303</v>
      </c>
      <c r="C854" s="2" t="s">
        <v>1145</v>
      </c>
    </row>
    <row r="855" spans="1:3" x14ac:dyDescent="0.35">
      <c r="A855" s="2" t="s">
        <v>162</v>
      </c>
      <c r="B855" s="2">
        <v>8304</v>
      </c>
      <c r="C855" s="2" t="s">
        <v>1146</v>
      </c>
    </row>
    <row r="856" spans="1:3" x14ac:dyDescent="0.35">
      <c r="A856" s="2" t="s">
        <v>162</v>
      </c>
      <c r="B856" s="2">
        <v>8305</v>
      </c>
      <c r="C856" s="2" t="s">
        <v>1147</v>
      </c>
    </row>
    <row r="857" spans="1:3" x14ac:dyDescent="0.35">
      <c r="A857" s="2" t="s">
        <v>162</v>
      </c>
      <c r="B857" s="2">
        <v>8306</v>
      </c>
      <c r="C857" s="2" t="s">
        <v>1148</v>
      </c>
    </row>
    <row r="858" spans="1:3" x14ac:dyDescent="0.35">
      <c r="A858" s="2" t="s">
        <v>162</v>
      </c>
      <c r="B858" s="2">
        <v>8307</v>
      </c>
      <c r="C858" s="2" t="s">
        <v>1149</v>
      </c>
    </row>
    <row r="859" spans="1:3" x14ac:dyDescent="0.35">
      <c r="A859" s="2" t="s">
        <v>162</v>
      </c>
      <c r="B859" s="2">
        <v>8308</v>
      </c>
      <c r="C859" s="2" t="s">
        <v>1150</v>
      </c>
    </row>
    <row r="860" spans="1:3" x14ac:dyDescent="0.35">
      <c r="A860" s="2" t="s">
        <v>162</v>
      </c>
      <c r="B860" s="2">
        <v>8309</v>
      </c>
      <c r="C860" s="2" t="s">
        <v>1151</v>
      </c>
    </row>
    <row r="861" spans="1:3" x14ac:dyDescent="0.35">
      <c r="A861" s="2" t="s">
        <v>162</v>
      </c>
      <c r="B861" s="2">
        <v>8310</v>
      </c>
      <c r="C861" s="2" t="s">
        <v>1152</v>
      </c>
    </row>
    <row r="862" spans="1:3" x14ac:dyDescent="0.35">
      <c r="A862" s="2" t="s">
        <v>162</v>
      </c>
      <c r="B862" s="2">
        <v>8311</v>
      </c>
      <c r="C862" s="2" t="s">
        <v>1153</v>
      </c>
    </row>
    <row r="863" spans="1:3" x14ac:dyDescent="0.35">
      <c r="A863" s="2" t="s">
        <v>162</v>
      </c>
      <c r="B863" s="2">
        <v>8312</v>
      </c>
      <c r="C863" s="2" t="s">
        <v>1154</v>
      </c>
    </row>
    <row r="864" spans="1:3" x14ac:dyDescent="0.35">
      <c r="A864" s="2" t="s">
        <v>162</v>
      </c>
      <c r="B864" s="2">
        <v>8313</v>
      </c>
      <c r="C864" s="2" t="s">
        <v>1155</v>
      </c>
    </row>
    <row r="865" spans="1:3" x14ac:dyDescent="0.35">
      <c r="A865" s="2" t="s">
        <v>162</v>
      </c>
      <c r="B865" s="2">
        <v>8314</v>
      </c>
      <c r="C865" s="2" t="s">
        <v>1156</v>
      </c>
    </row>
    <row r="866" spans="1:3" x14ac:dyDescent="0.35">
      <c r="A866" s="2" t="s">
        <v>162</v>
      </c>
      <c r="B866" s="2">
        <v>8401</v>
      </c>
      <c r="C866" s="2" t="s">
        <v>1157</v>
      </c>
    </row>
    <row r="867" spans="1:3" x14ac:dyDescent="0.35">
      <c r="A867" s="2" t="s">
        <v>162</v>
      </c>
      <c r="B867" s="2">
        <v>8402</v>
      </c>
      <c r="C867" s="2" t="s">
        <v>1158</v>
      </c>
    </row>
    <row r="868" spans="1:3" x14ac:dyDescent="0.35">
      <c r="A868" s="2" t="s">
        <v>162</v>
      </c>
      <c r="B868" s="2">
        <v>8403</v>
      </c>
      <c r="C868" s="2" t="s">
        <v>1159</v>
      </c>
    </row>
    <row r="869" spans="1:3" x14ac:dyDescent="0.35">
      <c r="A869" s="2" t="s">
        <v>162</v>
      </c>
      <c r="B869" s="2">
        <v>8404</v>
      </c>
      <c r="C869" s="2" t="s">
        <v>1160</v>
      </c>
    </row>
    <row r="870" spans="1:3" x14ac:dyDescent="0.35">
      <c r="A870" s="2" t="s">
        <v>162</v>
      </c>
      <c r="B870" s="2">
        <v>8405</v>
      </c>
      <c r="C870" s="2" t="s">
        <v>1161</v>
      </c>
    </row>
    <row r="871" spans="1:3" x14ac:dyDescent="0.35">
      <c r="A871" s="2" t="s">
        <v>162</v>
      </c>
      <c r="B871" s="2">
        <v>8406</v>
      </c>
      <c r="C871" s="2" t="s">
        <v>1162</v>
      </c>
    </row>
    <row r="872" spans="1:3" x14ac:dyDescent="0.35">
      <c r="A872" s="2" t="s">
        <v>162</v>
      </c>
      <c r="B872" s="2">
        <v>8407</v>
      </c>
      <c r="C872" s="2" t="s">
        <v>1163</v>
      </c>
    </row>
    <row r="873" spans="1:3" x14ac:dyDescent="0.35">
      <c r="A873" s="2" t="s">
        <v>162</v>
      </c>
      <c r="B873" s="2">
        <v>8408</v>
      </c>
      <c r="C873" s="2" t="s">
        <v>1164</v>
      </c>
    </row>
    <row r="874" spans="1:3" x14ac:dyDescent="0.35">
      <c r="A874" s="2" t="s">
        <v>162</v>
      </c>
      <c r="B874" s="2">
        <v>8409</v>
      </c>
      <c r="C874" s="2" t="s">
        <v>1165</v>
      </c>
    </row>
    <row r="875" spans="1:3" x14ac:dyDescent="0.35">
      <c r="A875" s="2" t="s">
        <v>162</v>
      </c>
      <c r="B875" s="2">
        <v>8410</v>
      </c>
      <c r="C875" s="2" t="s">
        <v>1166</v>
      </c>
    </row>
    <row r="876" spans="1:3" x14ac:dyDescent="0.35">
      <c r="A876" s="2" t="s">
        <v>162</v>
      </c>
      <c r="B876" s="2">
        <v>8411</v>
      </c>
      <c r="C876" s="2" t="s">
        <v>1167</v>
      </c>
    </row>
    <row r="877" spans="1:3" x14ac:dyDescent="0.35">
      <c r="A877" s="2" t="s">
        <v>162</v>
      </c>
      <c r="B877" s="2">
        <v>8412</v>
      </c>
      <c r="C877" s="2" t="s">
        <v>1168</v>
      </c>
    </row>
    <row r="878" spans="1:3" x14ac:dyDescent="0.35">
      <c r="A878" s="2" t="s">
        <v>162</v>
      </c>
      <c r="B878" s="2">
        <v>8413</v>
      </c>
      <c r="C878" s="2" t="s">
        <v>1169</v>
      </c>
    </row>
    <row r="879" spans="1:3" x14ac:dyDescent="0.35">
      <c r="A879" s="2" t="s">
        <v>162</v>
      </c>
      <c r="B879" s="2">
        <v>8414</v>
      </c>
      <c r="C879" s="2" t="s">
        <v>1170</v>
      </c>
    </row>
    <row r="880" spans="1:3" x14ac:dyDescent="0.35">
      <c r="A880" s="2" t="s">
        <v>162</v>
      </c>
      <c r="B880" s="2">
        <v>8415</v>
      </c>
      <c r="C880" s="2" t="s">
        <v>1171</v>
      </c>
    </row>
    <row r="881" spans="1:3" x14ac:dyDescent="0.35">
      <c r="A881" s="2" t="s">
        <v>162</v>
      </c>
      <c r="B881" s="2">
        <v>8416</v>
      </c>
      <c r="C881" s="2" t="s">
        <v>1172</v>
      </c>
    </row>
    <row r="882" spans="1:3" x14ac:dyDescent="0.35">
      <c r="A882" s="2" t="s">
        <v>162</v>
      </c>
      <c r="B882" s="2">
        <v>8417</v>
      </c>
      <c r="C882" s="2" t="s">
        <v>1173</v>
      </c>
    </row>
    <row r="883" spans="1:3" x14ac:dyDescent="0.35">
      <c r="A883" s="2" t="s">
        <v>162</v>
      </c>
      <c r="B883" s="2">
        <v>8418</v>
      </c>
      <c r="C883" s="2" t="s">
        <v>1174</v>
      </c>
    </row>
    <row r="884" spans="1:3" x14ac:dyDescent="0.35">
      <c r="A884" s="2" t="s">
        <v>162</v>
      </c>
      <c r="B884" s="2">
        <v>8419</v>
      </c>
      <c r="C884" s="2" t="s">
        <v>1175</v>
      </c>
    </row>
    <row r="885" spans="1:3" x14ac:dyDescent="0.35">
      <c r="A885" s="2" t="s">
        <v>162</v>
      </c>
      <c r="B885" s="2">
        <v>8420</v>
      </c>
      <c r="C885" s="2" t="s">
        <v>1176</v>
      </c>
    </row>
    <row r="886" spans="1:3" x14ac:dyDescent="0.35">
      <c r="A886" s="2" t="s">
        <v>162</v>
      </c>
      <c r="B886" s="2">
        <v>8421</v>
      </c>
      <c r="C886" s="2" t="s">
        <v>1177</v>
      </c>
    </row>
    <row r="887" spans="1:3" x14ac:dyDescent="0.35">
      <c r="A887" s="2" t="s">
        <v>162</v>
      </c>
      <c r="B887" s="2">
        <v>9101</v>
      </c>
      <c r="C887" s="2" t="s">
        <v>1178</v>
      </c>
    </row>
    <row r="888" spans="1:3" x14ac:dyDescent="0.35">
      <c r="A888" s="2" t="s">
        <v>162</v>
      </c>
      <c r="B888" s="2">
        <v>9102</v>
      </c>
      <c r="C888" s="2" t="s">
        <v>1179</v>
      </c>
    </row>
    <row r="889" spans="1:3" x14ac:dyDescent="0.35">
      <c r="A889" s="2" t="s">
        <v>162</v>
      </c>
      <c r="B889" s="2">
        <v>9103</v>
      </c>
      <c r="C889" s="2" t="s">
        <v>1180</v>
      </c>
    </row>
    <row r="890" spans="1:3" x14ac:dyDescent="0.35">
      <c r="A890" s="2" t="s">
        <v>162</v>
      </c>
      <c r="B890" s="2">
        <v>9104</v>
      </c>
      <c r="C890" s="2" t="s">
        <v>1181</v>
      </c>
    </row>
    <row r="891" spans="1:3" x14ac:dyDescent="0.35">
      <c r="A891" s="2" t="s">
        <v>162</v>
      </c>
      <c r="B891" s="2">
        <v>9105</v>
      </c>
      <c r="C891" s="2" t="s">
        <v>1182</v>
      </c>
    </row>
    <row r="892" spans="1:3" x14ac:dyDescent="0.35">
      <c r="A892" s="2" t="s">
        <v>162</v>
      </c>
      <c r="B892" s="2">
        <v>9106</v>
      </c>
      <c r="C892" s="2" t="s">
        <v>1183</v>
      </c>
    </row>
    <row r="893" spans="1:3" x14ac:dyDescent="0.35">
      <c r="A893" s="2" t="s">
        <v>162</v>
      </c>
      <c r="B893" s="2">
        <v>9107</v>
      </c>
      <c r="C893" s="2" t="s">
        <v>1184</v>
      </c>
    </row>
    <row r="894" spans="1:3" x14ac:dyDescent="0.35">
      <c r="A894" s="2" t="s">
        <v>162</v>
      </c>
      <c r="B894" s="2">
        <v>9108</v>
      </c>
      <c r="C894" s="2" t="s">
        <v>1185</v>
      </c>
    </row>
    <row r="895" spans="1:3" x14ac:dyDescent="0.35">
      <c r="A895" s="2" t="s">
        <v>162</v>
      </c>
      <c r="B895" s="2">
        <v>9109</v>
      </c>
      <c r="C895" s="2" t="s">
        <v>1186</v>
      </c>
    </row>
    <row r="896" spans="1:3" x14ac:dyDescent="0.35">
      <c r="A896" s="2" t="s">
        <v>162</v>
      </c>
      <c r="B896" s="2">
        <v>9110</v>
      </c>
      <c r="C896" s="2" t="s">
        <v>1187</v>
      </c>
    </row>
    <row r="897" spans="1:3" x14ac:dyDescent="0.35">
      <c r="A897" s="2" t="s">
        <v>162</v>
      </c>
      <c r="B897" s="2">
        <v>9111</v>
      </c>
      <c r="C897" s="2" t="s">
        <v>1188</v>
      </c>
    </row>
    <row r="898" spans="1:3" x14ac:dyDescent="0.35">
      <c r="A898" s="2" t="s">
        <v>162</v>
      </c>
      <c r="B898" s="2">
        <v>9112</v>
      </c>
      <c r="C898" s="2" t="s">
        <v>1189</v>
      </c>
    </row>
    <row r="899" spans="1:3" x14ac:dyDescent="0.35">
      <c r="A899" s="2" t="s">
        <v>162</v>
      </c>
      <c r="B899" s="2">
        <v>9113</v>
      </c>
      <c r="C899" s="2" t="s">
        <v>1190</v>
      </c>
    </row>
    <row r="900" spans="1:3" x14ac:dyDescent="0.35">
      <c r="A900" s="2" t="s">
        <v>162</v>
      </c>
      <c r="B900" s="2">
        <v>9114</v>
      </c>
      <c r="C900" s="2" t="s">
        <v>1191</v>
      </c>
    </row>
    <row r="901" spans="1:3" x14ac:dyDescent="0.35">
      <c r="A901" s="2" t="s">
        <v>162</v>
      </c>
      <c r="B901" s="2">
        <v>9115</v>
      </c>
      <c r="C901" s="2" t="s">
        <v>1192</v>
      </c>
    </row>
    <row r="902" spans="1:3" x14ac:dyDescent="0.35">
      <c r="A902" s="2" t="s">
        <v>162</v>
      </c>
      <c r="B902" s="2">
        <v>9116</v>
      </c>
      <c r="C902" s="2" t="s">
        <v>1193</v>
      </c>
    </row>
    <row r="903" spans="1:3" x14ac:dyDescent="0.35">
      <c r="A903" s="2" t="s">
        <v>162</v>
      </c>
      <c r="B903" s="2">
        <v>9117</v>
      </c>
      <c r="C903" s="2" t="s">
        <v>1194</v>
      </c>
    </row>
    <row r="904" spans="1:3" x14ac:dyDescent="0.35">
      <c r="A904" s="2" t="s">
        <v>162</v>
      </c>
      <c r="B904" s="2">
        <v>9118</v>
      </c>
      <c r="C904" s="2" t="s">
        <v>1195</v>
      </c>
    </row>
    <row r="905" spans="1:3" x14ac:dyDescent="0.35">
      <c r="A905" s="2" t="s">
        <v>162</v>
      </c>
      <c r="B905" s="2">
        <v>9119</v>
      </c>
      <c r="C905" s="2" t="s">
        <v>1196</v>
      </c>
    </row>
    <row r="906" spans="1:3" x14ac:dyDescent="0.35">
      <c r="A906" s="2" t="s">
        <v>162</v>
      </c>
      <c r="B906" s="2">
        <v>9120</v>
      </c>
      <c r="C906" s="2" t="s">
        <v>1197</v>
      </c>
    </row>
    <row r="907" spans="1:3" x14ac:dyDescent="0.35">
      <c r="A907" s="2" t="s">
        <v>162</v>
      </c>
      <c r="B907" s="2">
        <v>9121</v>
      </c>
      <c r="C907" s="2" t="s">
        <v>1198</v>
      </c>
    </row>
    <row r="908" spans="1:3" x14ac:dyDescent="0.35">
      <c r="A908" s="2" t="s">
        <v>162</v>
      </c>
      <c r="B908" s="2">
        <v>9201</v>
      </c>
      <c r="C908" s="2" t="s">
        <v>1199</v>
      </c>
    </row>
    <row r="909" spans="1:3" x14ac:dyDescent="0.35">
      <c r="A909" s="2" t="s">
        <v>162</v>
      </c>
      <c r="B909" s="2">
        <v>9202</v>
      </c>
      <c r="C909" s="2" t="s">
        <v>1200</v>
      </c>
    </row>
    <row r="910" spans="1:3" x14ac:dyDescent="0.35">
      <c r="A910" s="2" t="s">
        <v>162</v>
      </c>
      <c r="B910" s="2">
        <v>9203</v>
      </c>
      <c r="C910" s="2" t="s">
        <v>1201</v>
      </c>
    </row>
    <row r="911" spans="1:3" x14ac:dyDescent="0.35">
      <c r="A911" s="2" t="s">
        <v>162</v>
      </c>
      <c r="B911" s="2">
        <v>9204</v>
      </c>
      <c r="C911" s="2" t="s">
        <v>1202</v>
      </c>
    </row>
    <row r="912" spans="1:3" x14ac:dyDescent="0.35">
      <c r="A912" s="2" t="s">
        <v>162</v>
      </c>
      <c r="B912" s="2">
        <v>9205</v>
      </c>
      <c r="C912" s="2" t="s">
        <v>1203</v>
      </c>
    </row>
    <row r="913" spans="1:3" x14ac:dyDescent="0.35">
      <c r="A913" s="2" t="s">
        <v>162</v>
      </c>
      <c r="B913" s="2">
        <v>9206</v>
      </c>
      <c r="C913" s="2" t="s">
        <v>1204</v>
      </c>
    </row>
    <row r="914" spans="1:3" x14ac:dyDescent="0.35">
      <c r="A914" s="2" t="s">
        <v>162</v>
      </c>
      <c r="B914" s="2">
        <v>9207</v>
      </c>
      <c r="C914" s="2" t="s">
        <v>1205</v>
      </c>
    </row>
    <row r="915" spans="1:3" x14ac:dyDescent="0.35">
      <c r="A915" s="2" t="s">
        <v>162</v>
      </c>
      <c r="B915" s="2">
        <v>9208</v>
      </c>
      <c r="C915" s="2" t="s">
        <v>1206</v>
      </c>
    </row>
    <row r="916" spans="1:3" x14ac:dyDescent="0.35">
      <c r="A916" s="2" t="s">
        <v>162</v>
      </c>
      <c r="B916" s="2">
        <v>9209</v>
      </c>
      <c r="C916" s="2" t="s">
        <v>1207</v>
      </c>
    </row>
    <row r="917" spans="1:3" x14ac:dyDescent="0.35">
      <c r="A917" s="2" t="s">
        <v>162</v>
      </c>
      <c r="B917" s="2">
        <v>9210</v>
      </c>
      <c r="C917" s="2" t="s">
        <v>1208</v>
      </c>
    </row>
    <row r="918" spans="1:3" x14ac:dyDescent="0.35">
      <c r="A918" s="2" t="s">
        <v>162</v>
      </c>
      <c r="B918" s="2">
        <v>9211</v>
      </c>
      <c r="C918" s="2" t="s">
        <v>1209</v>
      </c>
    </row>
    <row r="919" spans="1:3" x14ac:dyDescent="0.35">
      <c r="A919" s="2" t="s">
        <v>162</v>
      </c>
      <c r="B919" s="2">
        <v>10101</v>
      </c>
      <c r="C919" s="2" t="s">
        <v>1210</v>
      </c>
    </row>
    <row r="920" spans="1:3" x14ac:dyDescent="0.35">
      <c r="A920" s="2" t="s">
        <v>162</v>
      </c>
      <c r="B920" s="2">
        <v>10102</v>
      </c>
      <c r="C920" s="2" t="s">
        <v>1211</v>
      </c>
    </row>
    <row r="921" spans="1:3" x14ac:dyDescent="0.35">
      <c r="A921" s="2" t="s">
        <v>162</v>
      </c>
      <c r="B921" s="2">
        <v>10103</v>
      </c>
      <c r="C921" s="2" t="s">
        <v>1212</v>
      </c>
    </row>
    <row r="922" spans="1:3" x14ac:dyDescent="0.35">
      <c r="A922" s="2" t="s">
        <v>162</v>
      </c>
      <c r="B922" s="2">
        <v>10104</v>
      </c>
      <c r="C922" s="2" t="s">
        <v>1213</v>
      </c>
    </row>
    <row r="923" spans="1:3" x14ac:dyDescent="0.35">
      <c r="A923" s="2" t="s">
        <v>162</v>
      </c>
      <c r="B923" s="2">
        <v>10105</v>
      </c>
      <c r="C923" s="2" t="s">
        <v>1214</v>
      </c>
    </row>
    <row r="924" spans="1:3" x14ac:dyDescent="0.35">
      <c r="A924" s="2" t="s">
        <v>162</v>
      </c>
      <c r="B924" s="2">
        <v>10106</v>
      </c>
      <c r="C924" s="2" t="s">
        <v>1215</v>
      </c>
    </row>
    <row r="925" spans="1:3" x14ac:dyDescent="0.35">
      <c r="A925" s="2" t="s">
        <v>162</v>
      </c>
      <c r="B925" s="2">
        <v>10107</v>
      </c>
      <c r="C925" s="2" t="s">
        <v>1216</v>
      </c>
    </row>
    <row r="926" spans="1:3" x14ac:dyDescent="0.35">
      <c r="A926" s="2" t="s">
        <v>162</v>
      </c>
      <c r="B926" s="2">
        <v>10108</v>
      </c>
      <c r="C926" s="2" t="s">
        <v>1217</v>
      </c>
    </row>
    <row r="927" spans="1:3" x14ac:dyDescent="0.35">
      <c r="A927" s="2" t="s">
        <v>162</v>
      </c>
      <c r="B927" s="2">
        <v>10109</v>
      </c>
      <c r="C927" s="2" t="s">
        <v>1218</v>
      </c>
    </row>
    <row r="928" spans="1:3" x14ac:dyDescent="0.35">
      <c r="A928" s="2" t="s">
        <v>162</v>
      </c>
      <c r="B928" s="2">
        <v>10201</v>
      </c>
      <c r="C928" s="2" t="s">
        <v>1219</v>
      </c>
    </row>
    <row r="929" spans="1:3" x14ac:dyDescent="0.35">
      <c r="A929" s="2" t="s">
        <v>162</v>
      </c>
      <c r="B929" s="2">
        <v>10202</v>
      </c>
      <c r="C929" s="2" t="s">
        <v>1220</v>
      </c>
    </row>
    <row r="930" spans="1:3" x14ac:dyDescent="0.35">
      <c r="A930" s="2" t="s">
        <v>162</v>
      </c>
      <c r="B930" s="2">
        <v>10203</v>
      </c>
      <c r="C930" s="2" t="s">
        <v>1221</v>
      </c>
    </row>
    <row r="931" spans="1:3" x14ac:dyDescent="0.35">
      <c r="A931" s="2" t="s">
        <v>162</v>
      </c>
      <c r="B931" s="2">
        <v>10204</v>
      </c>
      <c r="C931" s="2" t="s">
        <v>1222</v>
      </c>
    </row>
    <row r="932" spans="1:3" x14ac:dyDescent="0.35">
      <c r="A932" s="2" t="s">
        <v>162</v>
      </c>
      <c r="B932" s="2">
        <v>10205</v>
      </c>
      <c r="C932" s="2" t="s">
        <v>1223</v>
      </c>
    </row>
    <row r="933" spans="1:3" x14ac:dyDescent="0.35">
      <c r="A933" s="2" t="s">
        <v>162</v>
      </c>
      <c r="B933" s="2">
        <v>10206</v>
      </c>
      <c r="C933" s="2" t="s">
        <v>1224</v>
      </c>
    </row>
    <row r="934" spans="1:3" x14ac:dyDescent="0.35">
      <c r="A934" s="2" t="s">
        <v>162</v>
      </c>
      <c r="B934" s="2">
        <v>10207</v>
      </c>
      <c r="C934" s="2" t="s">
        <v>1225</v>
      </c>
    </row>
    <row r="935" spans="1:3" x14ac:dyDescent="0.35">
      <c r="A935" s="2" t="s">
        <v>162</v>
      </c>
      <c r="B935" s="2">
        <v>10208</v>
      </c>
      <c r="C935" s="2" t="s">
        <v>1226</v>
      </c>
    </row>
    <row r="936" spans="1:3" x14ac:dyDescent="0.35">
      <c r="A936" s="2" t="s">
        <v>162</v>
      </c>
      <c r="B936" s="2">
        <v>10209</v>
      </c>
      <c r="C936" s="2" t="s">
        <v>1227</v>
      </c>
    </row>
    <row r="937" spans="1:3" x14ac:dyDescent="0.35">
      <c r="A937" s="2" t="s">
        <v>162</v>
      </c>
      <c r="B937" s="2">
        <v>10210</v>
      </c>
      <c r="C937" s="2" t="s">
        <v>1228</v>
      </c>
    </row>
    <row r="938" spans="1:3" x14ac:dyDescent="0.35">
      <c r="A938" s="2" t="s">
        <v>162</v>
      </c>
      <c r="B938" s="2">
        <v>10301</v>
      </c>
      <c r="C938" s="2" t="s">
        <v>1229</v>
      </c>
    </row>
    <row r="939" spans="1:3" x14ac:dyDescent="0.35">
      <c r="A939" s="2" t="s">
        <v>162</v>
      </c>
      <c r="B939" s="2">
        <v>10302</v>
      </c>
      <c r="C939" s="2" t="s">
        <v>1230</v>
      </c>
    </row>
    <row r="940" spans="1:3" x14ac:dyDescent="0.35">
      <c r="A940" s="2" t="s">
        <v>162</v>
      </c>
      <c r="B940" s="2">
        <v>10303</v>
      </c>
      <c r="C940" s="2" t="s">
        <v>1231</v>
      </c>
    </row>
    <row r="941" spans="1:3" x14ac:dyDescent="0.35">
      <c r="A941" s="2" t="s">
        <v>162</v>
      </c>
      <c r="B941" s="2">
        <v>10304</v>
      </c>
      <c r="C941" s="2" t="s">
        <v>1232</v>
      </c>
    </row>
    <row r="942" spans="1:3" x14ac:dyDescent="0.35">
      <c r="A942" s="2" t="s">
        <v>162</v>
      </c>
      <c r="B942" s="2">
        <v>10305</v>
      </c>
      <c r="C942" s="2" t="s">
        <v>1233</v>
      </c>
    </row>
    <row r="943" spans="1:3" x14ac:dyDescent="0.35">
      <c r="A943" s="2" t="s">
        <v>162</v>
      </c>
      <c r="B943" s="2">
        <v>10306</v>
      </c>
      <c r="C943" s="2" t="s">
        <v>1234</v>
      </c>
    </row>
    <row r="944" spans="1:3" x14ac:dyDescent="0.35">
      <c r="A944" s="2" t="s">
        <v>162</v>
      </c>
      <c r="B944" s="2">
        <v>10307</v>
      </c>
      <c r="C944" s="2" t="s">
        <v>1235</v>
      </c>
    </row>
    <row r="945" spans="1:3" x14ac:dyDescent="0.35">
      <c r="A945" s="2" t="s">
        <v>162</v>
      </c>
      <c r="B945" s="2">
        <v>10401</v>
      </c>
      <c r="C945" s="2" t="s">
        <v>1236</v>
      </c>
    </row>
    <row r="946" spans="1:3" x14ac:dyDescent="0.35">
      <c r="A946" s="2" t="s">
        <v>162</v>
      </c>
      <c r="B946" s="2">
        <v>10402</v>
      </c>
      <c r="C946" s="2" t="s">
        <v>1237</v>
      </c>
    </row>
    <row r="947" spans="1:3" x14ac:dyDescent="0.35">
      <c r="A947" s="2" t="s">
        <v>162</v>
      </c>
      <c r="B947" s="2">
        <v>10403</v>
      </c>
      <c r="C947" s="2" t="s">
        <v>1238</v>
      </c>
    </row>
    <row r="948" spans="1:3" x14ac:dyDescent="0.35">
      <c r="A948" s="2" t="s">
        <v>162</v>
      </c>
      <c r="B948" s="2">
        <v>10404</v>
      </c>
      <c r="C948" s="2" t="s">
        <v>1239</v>
      </c>
    </row>
    <row r="949" spans="1:3" x14ac:dyDescent="0.35">
      <c r="A949" s="2" t="s">
        <v>162</v>
      </c>
      <c r="B949" s="2">
        <v>11101</v>
      </c>
      <c r="C949" s="2" t="s">
        <v>1240</v>
      </c>
    </row>
    <row r="950" spans="1:3" x14ac:dyDescent="0.35">
      <c r="A950" s="2" t="s">
        <v>162</v>
      </c>
      <c r="B950" s="2">
        <v>11102</v>
      </c>
      <c r="C950" s="2" t="s">
        <v>1241</v>
      </c>
    </row>
    <row r="951" spans="1:3" x14ac:dyDescent="0.35">
      <c r="A951" s="2" t="s">
        <v>162</v>
      </c>
      <c r="B951" s="2">
        <v>11201</v>
      </c>
      <c r="C951" s="2" t="s">
        <v>1242</v>
      </c>
    </row>
    <row r="952" spans="1:3" x14ac:dyDescent="0.35">
      <c r="A952" s="2" t="s">
        <v>162</v>
      </c>
      <c r="B952" s="2">
        <v>11202</v>
      </c>
      <c r="C952" s="2" t="s">
        <v>1243</v>
      </c>
    </row>
    <row r="953" spans="1:3" x14ac:dyDescent="0.35">
      <c r="A953" s="2" t="s">
        <v>162</v>
      </c>
      <c r="B953" s="2">
        <v>11203</v>
      </c>
      <c r="C953" s="2" t="s">
        <v>1244</v>
      </c>
    </row>
    <row r="954" spans="1:3" x14ac:dyDescent="0.35">
      <c r="A954" s="2" t="s">
        <v>162</v>
      </c>
      <c r="B954" s="2">
        <v>11301</v>
      </c>
      <c r="C954" s="2" t="s">
        <v>1245</v>
      </c>
    </row>
    <row r="955" spans="1:3" x14ac:dyDescent="0.35">
      <c r="A955" s="2" t="s">
        <v>162</v>
      </c>
      <c r="B955" s="2">
        <v>11302</v>
      </c>
      <c r="C955" s="2" t="s">
        <v>1246</v>
      </c>
    </row>
    <row r="956" spans="1:3" x14ac:dyDescent="0.35">
      <c r="A956" s="2" t="s">
        <v>162</v>
      </c>
      <c r="B956" s="2">
        <v>11303</v>
      </c>
      <c r="C956" s="2" t="s">
        <v>1247</v>
      </c>
    </row>
    <row r="957" spans="1:3" x14ac:dyDescent="0.35">
      <c r="A957" s="2" t="s">
        <v>162</v>
      </c>
      <c r="B957" s="2">
        <v>11401</v>
      </c>
      <c r="C957" s="2" t="s">
        <v>1248</v>
      </c>
    </row>
    <row r="958" spans="1:3" x14ac:dyDescent="0.35">
      <c r="A958" s="2" t="s">
        <v>162</v>
      </c>
      <c r="B958" s="2">
        <v>11402</v>
      </c>
      <c r="C958" s="2" t="s">
        <v>1249</v>
      </c>
    </row>
    <row r="959" spans="1:3" x14ac:dyDescent="0.35">
      <c r="A959" s="2" t="s">
        <v>162</v>
      </c>
      <c r="B959" s="2">
        <v>12101</v>
      </c>
      <c r="C959" s="2" t="s">
        <v>1250</v>
      </c>
    </row>
    <row r="960" spans="1:3" x14ac:dyDescent="0.35">
      <c r="A960" s="2" t="s">
        <v>162</v>
      </c>
      <c r="B960" s="2">
        <v>12102</v>
      </c>
      <c r="C960" s="2" t="s">
        <v>1251</v>
      </c>
    </row>
    <row r="961" spans="1:3" x14ac:dyDescent="0.35">
      <c r="A961" s="2" t="s">
        <v>162</v>
      </c>
      <c r="B961" s="2">
        <v>12103</v>
      </c>
      <c r="C961" s="2" t="s">
        <v>1252</v>
      </c>
    </row>
    <row r="962" spans="1:3" x14ac:dyDescent="0.35">
      <c r="A962" s="2" t="s">
        <v>162</v>
      </c>
      <c r="B962" s="2">
        <v>12104</v>
      </c>
      <c r="C962" s="2" t="s">
        <v>1253</v>
      </c>
    </row>
    <row r="963" spans="1:3" x14ac:dyDescent="0.35">
      <c r="A963" s="2" t="s">
        <v>162</v>
      </c>
      <c r="B963" s="2">
        <v>12201</v>
      </c>
      <c r="C963" s="2" t="s">
        <v>1254</v>
      </c>
    </row>
    <row r="964" spans="1:3" x14ac:dyDescent="0.35">
      <c r="A964" s="2" t="s">
        <v>162</v>
      </c>
      <c r="B964" s="2">
        <v>12202</v>
      </c>
      <c r="C964" s="2" t="s">
        <v>1255</v>
      </c>
    </row>
    <row r="965" spans="1:3" x14ac:dyDescent="0.35">
      <c r="A965" s="2" t="s">
        <v>162</v>
      </c>
      <c r="B965" s="2">
        <v>12301</v>
      </c>
      <c r="C965" s="2" t="s">
        <v>1256</v>
      </c>
    </row>
    <row r="966" spans="1:3" x14ac:dyDescent="0.35">
      <c r="A966" s="2" t="s">
        <v>162</v>
      </c>
      <c r="B966" s="2">
        <v>12302</v>
      </c>
      <c r="C966" s="2" t="s">
        <v>1257</v>
      </c>
    </row>
    <row r="967" spans="1:3" x14ac:dyDescent="0.35">
      <c r="A967" s="2" t="s">
        <v>162</v>
      </c>
      <c r="B967" s="2">
        <v>12303</v>
      </c>
      <c r="C967" s="2" t="s">
        <v>1258</v>
      </c>
    </row>
    <row r="968" spans="1:3" x14ac:dyDescent="0.35">
      <c r="A968" s="2" t="s">
        <v>162</v>
      </c>
      <c r="B968" s="2">
        <v>12401</v>
      </c>
      <c r="C968" s="2" t="s">
        <v>1259</v>
      </c>
    </row>
    <row r="969" spans="1:3" x14ac:dyDescent="0.35">
      <c r="A969" s="2" t="s">
        <v>162</v>
      </c>
      <c r="B969" s="2">
        <v>12402</v>
      </c>
      <c r="C969" s="2" t="s">
        <v>1260</v>
      </c>
    </row>
    <row r="970" spans="1:3" x14ac:dyDescent="0.35">
      <c r="A970" s="2" t="s">
        <v>162</v>
      </c>
      <c r="B970" s="2">
        <v>13101</v>
      </c>
      <c r="C970" s="2" t="s">
        <v>1261</v>
      </c>
    </row>
    <row r="971" spans="1:3" x14ac:dyDescent="0.35">
      <c r="A971" s="2" t="s">
        <v>162</v>
      </c>
      <c r="B971" s="2">
        <v>13102</v>
      </c>
      <c r="C971" s="2" t="s">
        <v>1262</v>
      </c>
    </row>
    <row r="972" spans="1:3" x14ac:dyDescent="0.35">
      <c r="A972" s="2" t="s">
        <v>162</v>
      </c>
      <c r="B972" s="2">
        <v>13103</v>
      </c>
      <c r="C972" s="2" t="s">
        <v>1263</v>
      </c>
    </row>
    <row r="973" spans="1:3" x14ac:dyDescent="0.35">
      <c r="A973" s="2" t="s">
        <v>162</v>
      </c>
      <c r="B973" s="2">
        <v>13104</v>
      </c>
      <c r="C973" s="2" t="s">
        <v>1264</v>
      </c>
    </row>
    <row r="974" spans="1:3" x14ac:dyDescent="0.35">
      <c r="A974" s="2" t="s">
        <v>162</v>
      </c>
      <c r="B974" s="2">
        <v>13105</v>
      </c>
      <c r="C974" s="2" t="s">
        <v>1265</v>
      </c>
    </row>
    <row r="975" spans="1:3" x14ac:dyDescent="0.35">
      <c r="A975" s="2" t="s">
        <v>162</v>
      </c>
      <c r="B975" s="2">
        <v>13106</v>
      </c>
      <c r="C975" s="2" t="s">
        <v>1266</v>
      </c>
    </row>
    <row r="976" spans="1:3" x14ac:dyDescent="0.35">
      <c r="A976" s="2" t="s">
        <v>162</v>
      </c>
      <c r="B976" s="2">
        <v>13107</v>
      </c>
      <c r="C976" s="2" t="s">
        <v>1267</v>
      </c>
    </row>
    <row r="977" spans="1:3" x14ac:dyDescent="0.35">
      <c r="A977" s="2" t="s">
        <v>162</v>
      </c>
      <c r="B977" s="2">
        <v>13108</v>
      </c>
      <c r="C977" s="2" t="s">
        <v>1268</v>
      </c>
    </row>
    <row r="978" spans="1:3" x14ac:dyDescent="0.35">
      <c r="A978" s="2" t="s">
        <v>162</v>
      </c>
      <c r="B978" s="2">
        <v>13109</v>
      </c>
      <c r="C978" s="2" t="s">
        <v>1269</v>
      </c>
    </row>
    <row r="979" spans="1:3" x14ac:dyDescent="0.35">
      <c r="A979" s="2" t="s">
        <v>162</v>
      </c>
      <c r="B979" s="2">
        <v>13110</v>
      </c>
      <c r="C979" s="2" t="s">
        <v>1270</v>
      </c>
    </row>
    <row r="980" spans="1:3" x14ac:dyDescent="0.35">
      <c r="A980" s="2" t="s">
        <v>162</v>
      </c>
      <c r="B980" s="2">
        <v>13111</v>
      </c>
      <c r="C980" s="2" t="s">
        <v>1271</v>
      </c>
    </row>
    <row r="981" spans="1:3" x14ac:dyDescent="0.35">
      <c r="A981" s="2" t="s">
        <v>162</v>
      </c>
      <c r="B981" s="2">
        <v>13112</v>
      </c>
      <c r="C981" s="2" t="s">
        <v>1272</v>
      </c>
    </row>
    <row r="982" spans="1:3" x14ac:dyDescent="0.35">
      <c r="A982" s="2" t="s">
        <v>162</v>
      </c>
      <c r="B982" s="2">
        <v>13113</v>
      </c>
      <c r="C982" s="2" t="s">
        <v>1273</v>
      </c>
    </row>
    <row r="983" spans="1:3" x14ac:dyDescent="0.35">
      <c r="A983" s="2" t="s">
        <v>162</v>
      </c>
      <c r="B983" s="2">
        <v>13114</v>
      </c>
      <c r="C983" s="2" t="s">
        <v>1274</v>
      </c>
    </row>
    <row r="984" spans="1:3" x14ac:dyDescent="0.35">
      <c r="A984" s="2" t="s">
        <v>162</v>
      </c>
      <c r="B984" s="2">
        <v>13115</v>
      </c>
      <c r="C984" s="2" t="s">
        <v>1275</v>
      </c>
    </row>
    <row r="985" spans="1:3" x14ac:dyDescent="0.35">
      <c r="A985" s="2" t="s">
        <v>162</v>
      </c>
      <c r="B985" s="2">
        <v>13116</v>
      </c>
      <c r="C985" s="2" t="s">
        <v>1276</v>
      </c>
    </row>
    <row r="986" spans="1:3" x14ac:dyDescent="0.35">
      <c r="A986" s="2" t="s">
        <v>162</v>
      </c>
      <c r="B986" s="2">
        <v>13117</v>
      </c>
      <c r="C986" s="2" t="s">
        <v>1277</v>
      </c>
    </row>
    <row r="987" spans="1:3" x14ac:dyDescent="0.35">
      <c r="A987" s="2" t="s">
        <v>162</v>
      </c>
      <c r="B987" s="2">
        <v>13118</v>
      </c>
      <c r="C987" s="2" t="s">
        <v>1278</v>
      </c>
    </row>
    <row r="988" spans="1:3" x14ac:dyDescent="0.35">
      <c r="A988" s="2" t="s">
        <v>162</v>
      </c>
      <c r="B988" s="2">
        <v>13119</v>
      </c>
      <c r="C988" s="2" t="s">
        <v>1279</v>
      </c>
    </row>
    <row r="989" spans="1:3" x14ac:dyDescent="0.35">
      <c r="A989" s="2" t="s">
        <v>162</v>
      </c>
      <c r="B989" s="2">
        <v>13121</v>
      </c>
      <c r="C989" s="2" t="s">
        <v>1280</v>
      </c>
    </row>
    <row r="990" spans="1:3" x14ac:dyDescent="0.35">
      <c r="A990" s="2" t="s">
        <v>162</v>
      </c>
      <c r="B990" s="2">
        <v>13122</v>
      </c>
      <c r="C990" s="2" t="s">
        <v>1281</v>
      </c>
    </row>
    <row r="991" spans="1:3" x14ac:dyDescent="0.35">
      <c r="A991" s="2" t="s">
        <v>162</v>
      </c>
      <c r="B991" s="2">
        <v>13123</v>
      </c>
      <c r="C991" s="2" t="s">
        <v>1282</v>
      </c>
    </row>
    <row r="992" spans="1:3" x14ac:dyDescent="0.35">
      <c r="A992" s="2" t="s">
        <v>162</v>
      </c>
      <c r="B992" s="2">
        <v>13124</v>
      </c>
      <c r="C992" s="2" t="s">
        <v>1283</v>
      </c>
    </row>
    <row r="993" spans="1:3" x14ac:dyDescent="0.35">
      <c r="A993" s="2" t="s">
        <v>162</v>
      </c>
      <c r="B993" s="2">
        <v>13125</v>
      </c>
      <c r="C993" s="2" t="s">
        <v>1284</v>
      </c>
    </row>
    <row r="994" spans="1:3" x14ac:dyDescent="0.35">
      <c r="A994" s="2" t="s">
        <v>162</v>
      </c>
      <c r="B994" s="2">
        <v>13126</v>
      </c>
      <c r="C994" s="2" t="s">
        <v>1285</v>
      </c>
    </row>
    <row r="995" spans="1:3" x14ac:dyDescent="0.35">
      <c r="A995" s="2" t="s">
        <v>162</v>
      </c>
      <c r="B995" s="2">
        <v>13127</v>
      </c>
      <c r="C995" s="2" t="s">
        <v>1286</v>
      </c>
    </row>
    <row r="996" spans="1:3" x14ac:dyDescent="0.35">
      <c r="A996" s="2" t="s">
        <v>162</v>
      </c>
      <c r="B996" s="2">
        <v>13128</v>
      </c>
      <c r="C996" s="2" t="s">
        <v>1287</v>
      </c>
    </row>
    <row r="997" spans="1:3" x14ac:dyDescent="0.35">
      <c r="A997" s="2" t="s">
        <v>162</v>
      </c>
      <c r="B997" s="2">
        <v>13129</v>
      </c>
      <c r="C997" s="2" t="s">
        <v>1288</v>
      </c>
    </row>
    <row r="998" spans="1:3" x14ac:dyDescent="0.35">
      <c r="A998" s="2" t="s">
        <v>162</v>
      </c>
      <c r="B998" s="2">
        <v>13130</v>
      </c>
      <c r="C998" s="2" t="s">
        <v>1289</v>
      </c>
    </row>
    <row r="999" spans="1:3" x14ac:dyDescent="0.35">
      <c r="A999" s="2" t="s">
        <v>162</v>
      </c>
      <c r="B999" s="2">
        <v>13131</v>
      </c>
      <c r="C999" s="2" t="s">
        <v>1290</v>
      </c>
    </row>
    <row r="1000" spans="1:3" x14ac:dyDescent="0.35">
      <c r="A1000" s="2" t="s">
        <v>162</v>
      </c>
      <c r="B1000" s="2">
        <v>13132</v>
      </c>
      <c r="C1000" s="2" t="s">
        <v>1291</v>
      </c>
    </row>
    <row r="1001" spans="1:3" x14ac:dyDescent="0.35">
      <c r="A1001" s="2" t="s">
        <v>162</v>
      </c>
      <c r="B1001" s="2">
        <v>13201</v>
      </c>
      <c r="C1001" s="2" t="s">
        <v>1292</v>
      </c>
    </row>
    <row r="1002" spans="1:3" x14ac:dyDescent="0.35">
      <c r="A1002" s="2" t="s">
        <v>162</v>
      </c>
      <c r="B1002" s="2">
        <v>13202</v>
      </c>
      <c r="C1002" s="2" t="s">
        <v>1293</v>
      </c>
    </row>
    <row r="1003" spans="1:3" x14ac:dyDescent="0.35">
      <c r="A1003" s="2" t="s">
        <v>162</v>
      </c>
      <c r="B1003" s="2">
        <v>13203</v>
      </c>
      <c r="C1003" s="2" t="s">
        <v>1294</v>
      </c>
    </row>
    <row r="1004" spans="1:3" x14ac:dyDescent="0.35">
      <c r="A1004" s="2" t="s">
        <v>162</v>
      </c>
      <c r="B1004" s="2">
        <v>13301</v>
      </c>
      <c r="C1004" s="2" t="s">
        <v>1295</v>
      </c>
    </row>
    <row r="1005" spans="1:3" x14ac:dyDescent="0.35">
      <c r="A1005" s="2" t="s">
        <v>162</v>
      </c>
      <c r="B1005" s="2">
        <v>13302</v>
      </c>
      <c r="C1005" s="2" t="s">
        <v>1296</v>
      </c>
    </row>
    <row r="1006" spans="1:3" x14ac:dyDescent="0.35">
      <c r="A1006" s="2" t="s">
        <v>162</v>
      </c>
      <c r="B1006" s="2">
        <v>13303</v>
      </c>
      <c r="C1006" s="2" t="s">
        <v>1297</v>
      </c>
    </row>
    <row r="1007" spans="1:3" x14ac:dyDescent="0.35">
      <c r="A1007" s="2" t="s">
        <v>162</v>
      </c>
      <c r="B1007" s="2">
        <v>13401</v>
      </c>
      <c r="C1007" s="2" t="s">
        <v>1298</v>
      </c>
    </row>
    <row r="1008" spans="1:3" x14ac:dyDescent="0.35">
      <c r="A1008" s="2" t="s">
        <v>162</v>
      </c>
      <c r="B1008" s="2">
        <v>13402</v>
      </c>
      <c r="C1008" s="2" t="s">
        <v>1299</v>
      </c>
    </row>
    <row r="1009" spans="1:3" x14ac:dyDescent="0.35">
      <c r="A1009" s="2" t="s">
        <v>162</v>
      </c>
      <c r="B1009" s="2">
        <v>13403</v>
      </c>
      <c r="C1009" s="2" t="s">
        <v>1300</v>
      </c>
    </row>
    <row r="1010" spans="1:3" x14ac:dyDescent="0.35">
      <c r="A1010" s="2" t="s">
        <v>162</v>
      </c>
      <c r="B1010" s="2">
        <v>13404</v>
      </c>
      <c r="C1010" s="2" t="s">
        <v>1301</v>
      </c>
    </row>
    <row r="1011" spans="1:3" x14ac:dyDescent="0.35">
      <c r="A1011" s="2" t="s">
        <v>162</v>
      </c>
      <c r="B1011" s="2">
        <v>13501</v>
      </c>
      <c r="C1011" s="2" t="s">
        <v>1302</v>
      </c>
    </row>
    <row r="1012" spans="1:3" x14ac:dyDescent="0.35">
      <c r="A1012" s="2" t="s">
        <v>162</v>
      </c>
      <c r="B1012" s="2">
        <v>13502</v>
      </c>
      <c r="C1012" s="2" t="s">
        <v>1303</v>
      </c>
    </row>
    <row r="1013" spans="1:3" x14ac:dyDescent="0.35">
      <c r="A1013" s="2" t="s">
        <v>162</v>
      </c>
      <c r="B1013" s="2">
        <v>13503</v>
      </c>
      <c r="C1013" s="2" t="s">
        <v>1304</v>
      </c>
    </row>
    <row r="1014" spans="1:3" x14ac:dyDescent="0.35">
      <c r="A1014" s="2" t="s">
        <v>162</v>
      </c>
      <c r="B1014" s="2">
        <v>13504</v>
      </c>
      <c r="C1014" s="2" t="s">
        <v>1305</v>
      </c>
    </row>
    <row r="1015" spans="1:3" x14ac:dyDescent="0.35">
      <c r="A1015" s="2" t="s">
        <v>162</v>
      </c>
      <c r="B1015" s="2">
        <v>13505</v>
      </c>
      <c r="C1015" s="2" t="s">
        <v>1306</v>
      </c>
    </row>
    <row r="1016" spans="1:3" x14ac:dyDescent="0.35">
      <c r="A1016" s="2" t="s">
        <v>162</v>
      </c>
      <c r="B1016" s="2">
        <v>13601</v>
      </c>
      <c r="C1016" s="2" t="s">
        <v>1307</v>
      </c>
    </row>
    <row r="1017" spans="1:3" x14ac:dyDescent="0.35">
      <c r="A1017" s="2" t="s">
        <v>162</v>
      </c>
      <c r="B1017" s="2">
        <v>13602</v>
      </c>
      <c r="C1017" s="2" t="s">
        <v>1308</v>
      </c>
    </row>
    <row r="1018" spans="1:3" x14ac:dyDescent="0.35">
      <c r="A1018" s="2" t="s">
        <v>162</v>
      </c>
      <c r="B1018" s="2">
        <v>13603</v>
      </c>
      <c r="C1018" s="2" t="s">
        <v>1309</v>
      </c>
    </row>
    <row r="1019" spans="1:3" x14ac:dyDescent="0.35">
      <c r="A1019" s="2" t="s">
        <v>162</v>
      </c>
      <c r="B1019" s="2">
        <v>13604</v>
      </c>
      <c r="C1019" s="2" t="s">
        <v>1310</v>
      </c>
    </row>
    <row r="1020" spans="1:3" x14ac:dyDescent="0.35">
      <c r="A1020" s="2" t="s">
        <v>162</v>
      </c>
      <c r="B1020" s="2">
        <v>13605</v>
      </c>
      <c r="C1020" s="2" t="s">
        <v>1311</v>
      </c>
    </row>
    <row r="1021" spans="1:3" x14ac:dyDescent="0.35">
      <c r="A1021" s="2" t="s">
        <v>162</v>
      </c>
      <c r="B1021" s="2">
        <v>14101</v>
      </c>
      <c r="C1021" s="2" t="s">
        <v>1312</v>
      </c>
    </row>
    <row r="1022" spans="1:3" x14ac:dyDescent="0.35">
      <c r="A1022" s="2" t="s">
        <v>162</v>
      </c>
      <c r="B1022" s="2">
        <v>14102</v>
      </c>
      <c r="C1022" s="2" t="s">
        <v>1313</v>
      </c>
    </row>
    <row r="1023" spans="1:3" x14ac:dyDescent="0.35">
      <c r="A1023" s="2" t="s">
        <v>162</v>
      </c>
      <c r="B1023" s="2">
        <v>14103</v>
      </c>
      <c r="C1023" s="2" t="s">
        <v>1314</v>
      </c>
    </row>
    <row r="1024" spans="1:3" x14ac:dyDescent="0.35">
      <c r="A1024" s="2" t="s">
        <v>162</v>
      </c>
      <c r="B1024" s="2">
        <v>14104</v>
      </c>
      <c r="C1024" s="2" t="s">
        <v>1315</v>
      </c>
    </row>
    <row r="1025" spans="1:3" x14ac:dyDescent="0.35">
      <c r="A1025" s="2" t="s">
        <v>162</v>
      </c>
      <c r="B1025" s="2">
        <v>14105</v>
      </c>
      <c r="C1025" s="2" t="s">
        <v>1316</v>
      </c>
    </row>
    <row r="1026" spans="1:3" x14ac:dyDescent="0.35">
      <c r="A1026" s="2" t="s">
        <v>162</v>
      </c>
      <c r="B1026" s="2">
        <v>14106</v>
      </c>
      <c r="C1026" s="2" t="s">
        <v>1317</v>
      </c>
    </row>
    <row r="1027" spans="1:3" x14ac:dyDescent="0.35">
      <c r="A1027" s="2" t="s">
        <v>162</v>
      </c>
      <c r="B1027" s="2">
        <v>14107</v>
      </c>
      <c r="C1027" s="2" t="s">
        <v>1318</v>
      </c>
    </row>
    <row r="1028" spans="1:3" x14ac:dyDescent="0.35">
      <c r="A1028" s="2" t="s">
        <v>162</v>
      </c>
      <c r="B1028" s="2">
        <v>14108</v>
      </c>
      <c r="C1028" s="2" t="s">
        <v>1319</v>
      </c>
    </row>
    <row r="1029" spans="1:3" x14ac:dyDescent="0.35">
      <c r="A1029" s="2" t="s">
        <v>162</v>
      </c>
      <c r="B1029" s="2">
        <v>14201</v>
      </c>
      <c r="C1029" s="2" t="s">
        <v>1320</v>
      </c>
    </row>
    <row r="1030" spans="1:3" x14ac:dyDescent="0.35">
      <c r="A1030" s="2" t="s">
        <v>162</v>
      </c>
      <c r="B1030" s="2">
        <v>14202</v>
      </c>
      <c r="C1030" s="2" t="s">
        <v>1321</v>
      </c>
    </row>
    <row r="1031" spans="1:3" x14ac:dyDescent="0.35">
      <c r="A1031" s="2" t="s">
        <v>162</v>
      </c>
      <c r="B1031" s="2">
        <v>14203</v>
      </c>
      <c r="C1031" s="2" t="s">
        <v>1322</v>
      </c>
    </row>
    <row r="1032" spans="1:3" x14ac:dyDescent="0.35">
      <c r="A1032" s="2" t="s">
        <v>162</v>
      </c>
      <c r="B1032" s="2">
        <v>14204</v>
      </c>
      <c r="C1032" s="2" t="s">
        <v>1323</v>
      </c>
    </row>
    <row r="1033" spans="1:3" x14ac:dyDescent="0.35">
      <c r="A1033" s="2" t="s">
        <v>162</v>
      </c>
      <c r="B1033" s="2">
        <v>15101</v>
      </c>
      <c r="C1033" s="2" t="s">
        <v>1324</v>
      </c>
    </row>
    <row r="1034" spans="1:3" x14ac:dyDescent="0.35">
      <c r="A1034" s="2" t="s">
        <v>162</v>
      </c>
      <c r="B1034" s="2">
        <v>15102</v>
      </c>
      <c r="C1034" s="2" t="s">
        <v>1325</v>
      </c>
    </row>
    <row r="1035" spans="1:3" x14ac:dyDescent="0.35">
      <c r="A1035" s="2" t="s">
        <v>162</v>
      </c>
      <c r="B1035" s="2">
        <v>15201</v>
      </c>
      <c r="C1035" s="2" t="s">
        <v>1326</v>
      </c>
    </row>
    <row r="1036" spans="1:3" x14ac:dyDescent="0.35">
      <c r="A1036" s="2" t="s">
        <v>162</v>
      </c>
      <c r="B1036" s="2">
        <v>15202</v>
      </c>
      <c r="C1036" s="2" t="s">
        <v>1327</v>
      </c>
    </row>
    <row r="1037" spans="1:3" x14ac:dyDescent="0.35">
      <c r="A1037" s="2" t="s">
        <v>375</v>
      </c>
      <c r="B1037" s="2">
        <v>1101</v>
      </c>
      <c r="C1037" s="2" t="s">
        <v>983</v>
      </c>
    </row>
    <row r="1038" spans="1:3" x14ac:dyDescent="0.35">
      <c r="A1038" s="2" t="s">
        <v>375</v>
      </c>
      <c r="B1038" s="2">
        <v>1107</v>
      </c>
      <c r="C1038" s="2" t="s">
        <v>984</v>
      </c>
    </row>
    <row r="1039" spans="1:3" x14ac:dyDescent="0.35">
      <c r="A1039" s="2" t="s">
        <v>375</v>
      </c>
      <c r="B1039" s="2">
        <v>1401</v>
      </c>
      <c r="C1039" s="2" t="s">
        <v>985</v>
      </c>
    </row>
    <row r="1040" spans="1:3" x14ac:dyDescent="0.35">
      <c r="A1040" s="2" t="s">
        <v>375</v>
      </c>
      <c r="B1040" s="2">
        <v>1402</v>
      </c>
      <c r="C1040" s="2" t="s">
        <v>986</v>
      </c>
    </row>
    <row r="1041" spans="1:3" x14ac:dyDescent="0.35">
      <c r="A1041" s="2" t="s">
        <v>375</v>
      </c>
      <c r="B1041" s="2">
        <v>1403</v>
      </c>
      <c r="C1041" s="2" t="s">
        <v>987</v>
      </c>
    </row>
    <row r="1042" spans="1:3" x14ac:dyDescent="0.35">
      <c r="A1042" s="2" t="s">
        <v>375</v>
      </c>
      <c r="B1042" s="2">
        <v>1404</v>
      </c>
      <c r="C1042" s="2" t="s">
        <v>988</v>
      </c>
    </row>
    <row r="1043" spans="1:3" x14ac:dyDescent="0.35">
      <c r="A1043" s="2" t="s">
        <v>375</v>
      </c>
      <c r="B1043" s="2">
        <v>1405</v>
      </c>
      <c r="C1043" s="2" t="s">
        <v>989</v>
      </c>
    </row>
    <row r="1044" spans="1:3" x14ac:dyDescent="0.35">
      <c r="A1044" s="2" t="s">
        <v>375</v>
      </c>
      <c r="B1044" s="2">
        <v>2101</v>
      </c>
      <c r="C1044" s="2" t="s">
        <v>990</v>
      </c>
    </row>
    <row r="1045" spans="1:3" x14ac:dyDescent="0.35">
      <c r="A1045" s="2" t="s">
        <v>375</v>
      </c>
      <c r="B1045" s="2">
        <v>2102</v>
      </c>
      <c r="C1045" s="2" t="s">
        <v>991</v>
      </c>
    </row>
    <row r="1046" spans="1:3" x14ac:dyDescent="0.35">
      <c r="A1046" s="2" t="s">
        <v>375</v>
      </c>
      <c r="B1046" s="2">
        <v>2103</v>
      </c>
      <c r="C1046" s="2" t="s">
        <v>992</v>
      </c>
    </row>
    <row r="1047" spans="1:3" x14ac:dyDescent="0.35">
      <c r="A1047" s="2" t="s">
        <v>375</v>
      </c>
      <c r="B1047" s="2">
        <v>2104</v>
      </c>
      <c r="C1047" s="2" t="s">
        <v>993</v>
      </c>
    </row>
    <row r="1048" spans="1:3" x14ac:dyDescent="0.35">
      <c r="A1048" s="2" t="s">
        <v>375</v>
      </c>
      <c r="B1048" s="2">
        <v>2201</v>
      </c>
      <c r="C1048" s="2" t="s">
        <v>994</v>
      </c>
    </row>
    <row r="1049" spans="1:3" x14ac:dyDescent="0.35">
      <c r="A1049" s="2" t="s">
        <v>375</v>
      </c>
      <c r="B1049" s="2">
        <v>2202</v>
      </c>
      <c r="C1049" s="2" t="s">
        <v>995</v>
      </c>
    </row>
    <row r="1050" spans="1:3" x14ac:dyDescent="0.35">
      <c r="A1050" s="2" t="s">
        <v>375</v>
      </c>
      <c r="B1050" s="2">
        <v>2203</v>
      </c>
      <c r="C1050" s="2" t="s">
        <v>996</v>
      </c>
    </row>
    <row r="1051" spans="1:3" x14ac:dyDescent="0.35">
      <c r="A1051" s="2" t="s">
        <v>375</v>
      </c>
      <c r="B1051" s="2">
        <v>2301</v>
      </c>
      <c r="C1051" s="2" t="s">
        <v>997</v>
      </c>
    </row>
    <row r="1052" spans="1:3" x14ac:dyDescent="0.35">
      <c r="A1052" s="2" t="s">
        <v>375</v>
      </c>
      <c r="B1052" s="2">
        <v>2302</v>
      </c>
      <c r="C1052" s="2" t="s">
        <v>998</v>
      </c>
    </row>
    <row r="1053" spans="1:3" x14ac:dyDescent="0.35">
      <c r="A1053" s="2" t="s">
        <v>375</v>
      </c>
      <c r="B1053" s="2">
        <v>3101</v>
      </c>
      <c r="C1053" s="2" t="s">
        <v>999</v>
      </c>
    </row>
    <row r="1054" spans="1:3" x14ac:dyDescent="0.35">
      <c r="A1054" s="2" t="s">
        <v>375</v>
      </c>
      <c r="B1054" s="2">
        <v>3102</v>
      </c>
      <c r="C1054" s="2" t="s">
        <v>1000</v>
      </c>
    </row>
    <row r="1055" spans="1:3" x14ac:dyDescent="0.35">
      <c r="A1055" s="2" t="s">
        <v>375</v>
      </c>
      <c r="B1055" s="2">
        <v>3103</v>
      </c>
      <c r="C1055" s="2" t="s">
        <v>1001</v>
      </c>
    </row>
    <row r="1056" spans="1:3" x14ac:dyDescent="0.35">
      <c r="A1056" s="2" t="s">
        <v>375</v>
      </c>
      <c r="B1056" s="2">
        <v>3201</v>
      </c>
      <c r="C1056" s="2" t="s">
        <v>1002</v>
      </c>
    </row>
    <row r="1057" spans="1:3" x14ac:dyDescent="0.35">
      <c r="A1057" s="2" t="s">
        <v>375</v>
      </c>
      <c r="B1057" s="2">
        <v>3202</v>
      </c>
      <c r="C1057" s="2" t="s">
        <v>1003</v>
      </c>
    </row>
    <row r="1058" spans="1:3" x14ac:dyDescent="0.35">
      <c r="A1058" s="2" t="s">
        <v>375</v>
      </c>
      <c r="B1058" s="2">
        <v>3301</v>
      </c>
      <c r="C1058" s="2" t="s">
        <v>1004</v>
      </c>
    </row>
    <row r="1059" spans="1:3" x14ac:dyDescent="0.35">
      <c r="A1059" s="2" t="s">
        <v>375</v>
      </c>
      <c r="B1059" s="2">
        <v>3302</v>
      </c>
      <c r="C1059" s="2" t="s">
        <v>1005</v>
      </c>
    </row>
    <row r="1060" spans="1:3" x14ac:dyDescent="0.35">
      <c r="A1060" s="2" t="s">
        <v>375</v>
      </c>
      <c r="B1060" s="2">
        <v>3303</v>
      </c>
      <c r="C1060" s="2" t="s">
        <v>1006</v>
      </c>
    </row>
    <row r="1061" spans="1:3" x14ac:dyDescent="0.35">
      <c r="A1061" s="2" t="s">
        <v>375</v>
      </c>
      <c r="B1061" s="2">
        <v>3304</v>
      </c>
      <c r="C1061" s="2" t="s">
        <v>1007</v>
      </c>
    </row>
    <row r="1062" spans="1:3" x14ac:dyDescent="0.35">
      <c r="A1062" s="2" t="s">
        <v>375</v>
      </c>
      <c r="B1062" s="2">
        <v>4101</v>
      </c>
      <c r="C1062" s="2" t="s">
        <v>1008</v>
      </c>
    </row>
    <row r="1063" spans="1:3" x14ac:dyDescent="0.35">
      <c r="A1063" s="2" t="s">
        <v>375</v>
      </c>
      <c r="B1063" s="2">
        <v>4102</v>
      </c>
      <c r="C1063" s="2" t="s">
        <v>1009</v>
      </c>
    </row>
    <row r="1064" spans="1:3" x14ac:dyDescent="0.35">
      <c r="A1064" s="2" t="s">
        <v>375</v>
      </c>
      <c r="B1064" s="2">
        <v>4103</v>
      </c>
      <c r="C1064" s="2" t="s">
        <v>1010</v>
      </c>
    </row>
    <row r="1065" spans="1:3" x14ac:dyDescent="0.35">
      <c r="A1065" s="2" t="s">
        <v>375</v>
      </c>
      <c r="B1065" s="2">
        <v>4104</v>
      </c>
      <c r="C1065" s="2" t="s">
        <v>1011</v>
      </c>
    </row>
    <row r="1066" spans="1:3" x14ac:dyDescent="0.35">
      <c r="A1066" s="2" t="s">
        <v>375</v>
      </c>
      <c r="B1066" s="2">
        <v>4105</v>
      </c>
      <c r="C1066" s="2" t="s">
        <v>1012</v>
      </c>
    </row>
    <row r="1067" spans="1:3" x14ac:dyDescent="0.35">
      <c r="A1067" s="2" t="s">
        <v>375</v>
      </c>
      <c r="B1067" s="2">
        <v>4106</v>
      </c>
      <c r="C1067" s="2" t="s">
        <v>1013</v>
      </c>
    </row>
    <row r="1068" spans="1:3" x14ac:dyDescent="0.35">
      <c r="A1068" s="2" t="s">
        <v>375</v>
      </c>
      <c r="B1068" s="2">
        <v>4201</v>
      </c>
      <c r="C1068" s="2" t="s">
        <v>1014</v>
      </c>
    </row>
    <row r="1069" spans="1:3" x14ac:dyDescent="0.35">
      <c r="A1069" s="2" t="s">
        <v>375</v>
      </c>
      <c r="B1069" s="2">
        <v>4202</v>
      </c>
      <c r="C1069" s="2" t="s">
        <v>1015</v>
      </c>
    </row>
    <row r="1070" spans="1:3" x14ac:dyDescent="0.35">
      <c r="A1070" s="2" t="s">
        <v>375</v>
      </c>
      <c r="B1070" s="2">
        <v>4203</v>
      </c>
      <c r="C1070" s="2" t="s">
        <v>1016</v>
      </c>
    </row>
    <row r="1071" spans="1:3" x14ac:dyDescent="0.35">
      <c r="A1071" s="2" t="s">
        <v>375</v>
      </c>
      <c r="B1071" s="2">
        <v>4204</v>
      </c>
      <c r="C1071" s="2" t="s">
        <v>1017</v>
      </c>
    </row>
    <row r="1072" spans="1:3" x14ac:dyDescent="0.35">
      <c r="A1072" s="2" t="s">
        <v>375</v>
      </c>
      <c r="B1072" s="2">
        <v>4301</v>
      </c>
      <c r="C1072" s="2" t="s">
        <v>1018</v>
      </c>
    </row>
    <row r="1073" spans="1:3" x14ac:dyDescent="0.35">
      <c r="A1073" s="2" t="s">
        <v>375</v>
      </c>
      <c r="B1073" s="2">
        <v>4302</v>
      </c>
      <c r="C1073" s="2" t="s">
        <v>1019</v>
      </c>
    </row>
    <row r="1074" spans="1:3" x14ac:dyDescent="0.35">
      <c r="A1074" s="2" t="s">
        <v>375</v>
      </c>
      <c r="B1074" s="2">
        <v>4303</v>
      </c>
      <c r="C1074" s="2" t="s">
        <v>1020</v>
      </c>
    </row>
    <row r="1075" spans="1:3" x14ac:dyDescent="0.35">
      <c r="A1075" s="2" t="s">
        <v>375</v>
      </c>
      <c r="B1075" s="2">
        <v>4304</v>
      </c>
      <c r="C1075" s="2" t="s">
        <v>1021</v>
      </c>
    </row>
    <row r="1076" spans="1:3" x14ac:dyDescent="0.35">
      <c r="A1076" s="2" t="s">
        <v>375</v>
      </c>
      <c r="B1076" s="2">
        <v>4305</v>
      </c>
      <c r="C1076" s="2" t="s">
        <v>1022</v>
      </c>
    </row>
    <row r="1077" spans="1:3" x14ac:dyDescent="0.35">
      <c r="A1077" s="2" t="s">
        <v>375</v>
      </c>
      <c r="B1077" s="2">
        <v>5101</v>
      </c>
      <c r="C1077" s="2" t="s">
        <v>1023</v>
      </c>
    </row>
    <row r="1078" spans="1:3" x14ac:dyDescent="0.35">
      <c r="A1078" s="2" t="s">
        <v>375</v>
      </c>
      <c r="B1078" s="2">
        <v>5102</v>
      </c>
      <c r="C1078" s="2" t="s">
        <v>1024</v>
      </c>
    </row>
    <row r="1079" spans="1:3" x14ac:dyDescent="0.35">
      <c r="A1079" s="2" t="s">
        <v>375</v>
      </c>
      <c r="B1079" s="2">
        <v>5103</v>
      </c>
      <c r="C1079" s="2" t="s">
        <v>1025</v>
      </c>
    </row>
    <row r="1080" spans="1:3" x14ac:dyDescent="0.35">
      <c r="A1080" s="2" t="s">
        <v>375</v>
      </c>
      <c r="B1080" s="2">
        <v>5104</v>
      </c>
      <c r="C1080" s="2" t="s">
        <v>1026</v>
      </c>
    </row>
    <row r="1081" spans="1:3" x14ac:dyDescent="0.35">
      <c r="A1081" s="2" t="s">
        <v>375</v>
      </c>
      <c r="B1081" s="2">
        <v>5105</v>
      </c>
      <c r="C1081" s="2" t="s">
        <v>1027</v>
      </c>
    </row>
    <row r="1082" spans="1:3" x14ac:dyDescent="0.35">
      <c r="A1082" s="2" t="s">
        <v>375</v>
      </c>
      <c r="B1082" s="2">
        <v>5107</v>
      </c>
      <c r="C1082" s="2" t="s">
        <v>1028</v>
      </c>
    </row>
    <row r="1083" spans="1:3" x14ac:dyDescent="0.35">
      <c r="A1083" s="2" t="s">
        <v>375</v>
      </c>
      <c r="B1083" s="2">
        <v>5109</v>
      </c>
      <c r="C1083" s="2" t="s">
        <v>1029</v>
      </c>
    </row>
    <row r="1084" spans="1:3" x14ac:dyDescent="0.35">
      <c r="A1084" s="2" t="s">
        <v>375</v>
      </c>
      <c r="B1084" s="2">
        <v>5201</v>
      </c>
      <c r="C1084" s="2" t="s">
        <v>1030</v>
      </c>
    </row>
    <row r="1085" spans="1:3" x14ac:dyDescent="0.35">
      <c r="A1085" s="2" t="s">
        <v>375</v>
      </c>
      <c r="B1085" s="2">
        <v>5301</v>
      </c>
      <c r="C1085" s="2" t="s">
        <v>1031</v>
      </c>
    </row>
    <row r="1086" spans="1:3" x14ac:dyDescent="0.35">
      <c r="A1086" s="2" t="s">
        <v>375</v>
      </c>
      <c r="B1086" s="2">
        <v>5302</v>
      </c>
      <c r="C1086" s="2" t="s">
        <v>1032</v>
      </c>
    </row>
    <row r="1087" spans="1:3" x14ac:dyDescent="0.35">
      <c r="A1087" s="2" t="s">
        <v>375</v>
      </c>
      <c r="B1087" s="2">
        <v>5303</v>
      </c>
      <c r="C1087" s="2" t="s">
        <v>1033</v>
      </c>
    </row>
    <row r="1088" spans="1:3" x14ac:dyDescent="0.35">
      <c r="A1088" s="2" t="s">
        <v>375</v>
      </c>
      <c r="B1088" s="2">
        <v>5304</v>
      </c>
      <c r="C1088" s="2" t="s">
        <v>1034</v>
      </c>
    </row>
    <row r="1089" spans="1:3" x14ac:dyDescent="0.35">
      <c r="A1089" s="2" t="s">
        <v>375</v>
      </c>
      <c r="B1089" s="2">
        <v>5401</v>
      </c>
      <c r="C1089" s="2" t="s">
        <v>1035</v>
      </c>
    </row>
    <row r="1090" spans="1:3" x14ac:dyDescent="0.35">
      <c r="A1090" s="2" t="s">
        <v>375</v>
      </c>
      <c r="B1090" s="2">
        <v>5402</v>
      </c>
      <c r="C1090" s="2" t="s">
        <v>1036</v>
      </c>
    </row>
    <row r="1091" spans="1:3" x14ac:dyDescent="0.35">
      <c r="A1091" s="2" t="s">
        <v>375</v>
      </c>
      <c r="B1091" s="2">
        <v>5403</v>
      </c>
      <c r="C1091" s="2" t="s">
        <v>1037</v>
      </c>
    </row>
    <row r="1092" spans="1:3" x14ac:dyDescent="0.35">
      <c r="A1092" s="2" t="s">
        <v>375</v>
      </c>
      <c r="B1092" s="2">
        <v>5404</v>
      </c>
      <c r="C1092" s="2" t="s">
        <v>1038</v>
      </c>
    </row>
    <row r="1093" spans="1:3" x14ac:dyDescent="0.35">
      <c r="A1093" s="2" t="s">
        <v>375</v>
      </c>
      <c r="B1093" s="2">
        <v>5405</v>
      </c>
      <c r="C1093" s="2" t="s">
        <v>1039</v>
      </c>
    </row>
    <row r="1094" spans="1:3" x14ac:dyDescent="0.35">
      <c r="A1094" s="2" t="s">
        <v>375</v>
      </c>
      <c r="B1094" s="2">
        <v>5501</v>
      </c>
      <c r="C1094" s="2" t="s">
        <v>1040</v>
      </c>
    </row>
    <row r="1095" spans="1:3" x14ac:dyDescent="0.35">
      <c r="A1095" s="2" t="s">
        <v>375</v>
      </c>
      <c r="B1095" s="2">
        <v>5502</v>
      </c>
      <c r="C1095" s="2" t="s">
        <v>1041</v>
      </c>
    </row>
    <row r="1096" spans="1:3" x14ac:dyDescent="0.35">
      <c r="A1096" s="2" t="s">
        <v>375</v>
      </c>
      <c r="B1096" s="2">
        <v>5503</v>
      </c>
      <c r="C1096" s="2" t="s">
        <v>1042</v>
      </c>
    </row>
    <row r="1097" spans="1:3" x14ac:dyDescent="0.35">
      <c r="A1097" s="2" t="s">
        <v>375</v>
      </c>
      <c r="B1097" s="2">
        <v>5504</v>
      </c>
      <c r="C1097" s="2" t="s">
        <v>1043</v>
      </c>
    </row>
    <row r="1098" spans="1:3" x14ac:dyDescent="0.35">
      <c r="A1098" s="2" t="s">
        <v>375</v>
      </c>
      <c r="B1098" s="2">
        <v>5506</v>
      </c>
      <c r="C1098" s="2" t="s">
        <v>1044</v>
      </c>
    </row>
    <row r="1099" spans="1:3" x14ac:dyDescent="0.35">
      <c r="A1099" s="2" t="s">
        <v>375</v>
      </c>
      <c r="B1099" s="2">
        <v>5601</v>
      </c>
      <c r="C1099" s="2" t="s">
        <v>1045</v>
      </c>
    </row>
    <row r="1100" spans="1:3" x14ac:dyDescent="0.35">
      <c r="A1100" s="2" t="s">
        <v>375</v>
      </c>
      <c r="B1100" s="2">
        <v>5602</v>
      </c>
      <c r="C1100" s="2" t="s">
        <v>1046</v>
      </c>
    </row>
    <row r="1101" spans="1:3" x14ac:dyDescent="0.35">
      <c r="A1101" s="2" t="s">
        <v>375</v>
      </c>
      <c r="B1101" s="2">
        <v>5603</v>
      </c>
      <c r="C1101" s="2" t="s">
        <v>1047</v>
      </c>
    </row>
    <row r="1102" spans="1:3" x14ac:dyDescent="0.35">
      <c r="A1102" s="2" t="s">
        <v>375</v>
      </c>
      <c r="B1102" s="2">
        <v>5604</v>
      </c>
      <c r="C1102" s="2" t="s">
        <v>1048</v>
      </c>
    </row>
    <row r="1103" spans="1:3" x14ac:dyDescent="0.35">
      <c r="A1103" s="2" t="s">
        <v>375</v>
      </c>
      <c r="B1103" s="2">
        <v>5605</v>
      </c>
      <c r="C1103" s="2" t="s">
        <v>1049</v>
      </c>
    </row>
    <row r="1104" spans="1:3" x14ac:dyDescent="0.35">
      <c r="A1104" s="2" t="s">
        <v>375</v>
      </c>
      <c r="B1104" s="2">
        <v>5606</v>
      </c>
      <c r="C1104" s="2" t="s">
        <v>1050</v>
      </c>
    </row>
    <row r="1105" spans="1:3" x14ac:dyDescent="0.35">
      <c r="A1105" s="2" t="s">
        <v>375</v>
      </c>
      <c r="B1105" s="2">
        <v>5701</v>
      </c>
      <c r="C1105" s="2" t="s">
        <v>1051</v>
      </c>
    </row>
    <row r="1106" spans="1:3" x14ac:dyDescent="0.35">
      <c r="A1106" s="2" t="s">
        <v>375</v>
      </c>
      <c r="B1106" s="2">
        <v>5702</v>
      </c>
      <c r="C1106" s="2" t="s">
        <v>1052</v>
      </c>
    </row>
    <row r="1107" spans="1:3" x14ac:dyDescent="0.35">
      <c r="A1107" s="2" t="s">
        <v>375</v>
      </c>
      <c r="B1107" s="2">
        <v>5703</v>
      </c>
      <c r="C1107" s="2" t="s">
        <v>1053</v>
      </c>
    </row>
    <row r="1108" spans="1:3" x14ac:dyDescent="0.35">
      <c r="A1108" s="2" t="s">
        <v>375</v>
      </c>
      <c r="B1108" s="2">
        <v>5704</v>
      </c>
      <c r="C1108" s="2" t="s">
        <v>1054</v>
      </c>
    </row>
    <row r="1109" spans="1:3" x14ac:dyDescent="0.35">
      <c r="A1109" s="2" t="s">
        <v>375</v>
      </c>
      <c r="B1109" s="2">
        <v>5705</v>
      </c>
      <c r="C1109" s="2" t="s">
        <v>1055</v>
      </c>
    </row>
    <row r="1110" spans="1:3" x14ac:dyDescent="0.35">
      <c r="A1110" s="2" t="s">
        <v>375</v>
      </c>
      <c r="B1110" s="2">
        <v>5706</v>
      </c>
      <c r="C1110" s="2" t="s">
        <v>1056</v>
      </c>
    </row>
    <row r="1111" spans="1:3" x14ac:dyDescent="0.35">
      <c r="A1111" s="2" t="s">
        <v>375</v>
      </c>
      <c r="B1111" s="2">
        <v>5801</v>
      </c>
      <c r="C1111" s="2" t="s">
        <v>1057</v>
      </c>
    </row>
    <row r="1112" spans="1:3" x14ac:dyDescent="0.35">
      <c r="A1112" s="2" t="s">
        <v>375</v>
      </c>
      <c r="B1112" s="2">
        <v>5802</v>
      </c>
      <c r="C1112" s="2" t="s">
        <v>1058</v>
      </c>
    </row>
    <row r="1113" spans="1:3" x14ac:dyDescent="0.35">
      <c r="A1113" s="2" t="s">
        <v>375</v>
      </c>
      <c r="B1113" s="2">
        <v>5803</v>
      </c>
      <c r="C1113" s="2" t="s">
        <v>1059</v>
      </c>
    </row>
    <row r="1114" spans="1:3" x14ac:dyDescent="0.35">
      <c r="A1114" s="2" t="s">
        <v>375</v>
      </c>
      <c r="B1114" s="2">
        <v>5804</v>
      </c>
      <c r="C1114" s="2" t="s">
        <v>1060</v>
      </c>
    </row>
    <row r="1115" spans="1:3" x14ac:dyDescent="0.35">
      <c r="A1115" s="2" t="s">
        <v>375</v>
      </c>
      <c r="B1115" s="2">
        <v>6101</v>
      </c>
      <c r="C1115" s="2" t="s">
        <v>1061</v>
      </c>
    </row>
    <row r="1116" spans="1:3" x14ac:dyDescent="0.35">
      <c r="A1116" s="2" t="s">
        <v>375</v>
      </c>
      <c r="B1116" s="2">
        <v>6102</v>
      </c>
      <c r="C1116" s="2" t="s">
        <v>1062</v>
      </c>
    </row>
    <row r="1117" spans="1:3" x14ac:dyDescent="0.35">
      <c r="A1117" s="2" t="s">
        <v>375</v>
      </c>
      <c r="B1117" s="2">
        <v>6103</v>
      </c>
      <c r="C1117" s="2" t="s">
        <v>1063</v>
      </c>
    </row>
    <row r="1118" spans="1:3" x14ac:dyDescent="0.35">
      <c r="A1118" s="2" t="s">
        <v>375</v>
      </c>
      <c r="B1118" s="2">
        <v>6104</v>
      </c>
      <c r="C1118" s="2" t="s">
        <v>1064</v>
      </c>
    </row>
    <row r="1119" spans="1:3" x14ac:dyDescent="0.35">
      <c r="A1119" s="2" t="s">
        <v>375</v>
      </c>
      <c r="B1119" s="2">
        <v>6105</v>
      </c>
      <c r="C1119" s="2" t="s">
        <v>1065</v>
      </c>
    </row>
    <row r="1120" spans="1:3" x14ac:dyDescent="0.35">
      <c r="A1120" s="2" t="s">
        <v>375</v>
      </c>
      <c r="B1120" s="2">
        <v>6106</v>
      </c>
      <c r="C1120" s="2" t="s">
        <v>1066</v>
      </c>
    </row>
    <row r="1121" spans="1:3" x14ac:dyDescent="0.35">
      <c r="A1121" s="2" t="s">
        <v>375</v>
      </c>
      <c r="B1121" s="2">
        <v>6107</v>
      </c>
      <c r="C1121" s="2" t="s">
        <v>1067</v>
      </c>
    </row>
    <row r="1122" spans="1:3" x14ac:dyDescent="0.35">
      <c r="A1122" s="2" t="s">
        <v>375</v>
      </c>
      <c r="B1122" s="2">
        <v>6108</v>
      </c>
      <c r="C1122" s="2" t="s">
        <v>1068</v>
      </c>
    </row>
    <row r="1123" spans="1:3" x14ac:dyDescent="0.35">
      <c r="A1123" s="2" t="s">
        <v>375</v>
      </c>
      <c r="B1123" s="2">
        <v>6109</v>
      </c>
      <c r="C1123" s="2" t="s">
        <v>1069</v>
      </c>
    </row>
    <row r="1124" spans="1:3" x14ac:dyDescent="0.35">
      <c r="A1124" s="2" t="s">
        <v>375</v>
      </c>
      <c r="B1124" s="2">
        <v>6110</v>
      </c>
      <c r="C1124" s="2" t="s">
        <v>1070</v>
      </c>
    </row>
    <row r="1125" spans="1:3" x14ac:dyDescent="0.35">
      <c r="A1125" s="2" t="s">
        <v>375</v>
      </c>
      <c r="B1125" s="2">
        <v>6111</v>
      </c>
      <c r="C1125" s="2" t="s">
        <v>1071</v>
      </c>
    </row>
    <row r="1126" spans="1:3" x14ac:dyDescent="0.35">
      <c r="A1126" s="2" t="s">
        <v>375</v>
      </c>
      <c r="B1126" s="2">
        <v>6112</v>
      </c>
      <c r="C1126" s="2" t="s">
        <v>1072</v>
      </c>
    </row>
    <row r="1127" spans="1:3" x14ac:dyDescent="0.35">
      <c r="A1127" s="2" t="s">
        <v>375</v>
      </c>
      <c r="B1127" s="2">
        <v>6113</v>
      </c>
      <c r="C1127" s="2" t="s">
        <v>1073</v>
      </c>
    </row>
    <row r="1128" spans="1:3" x14ac:dyDescent="0.35">
      <c r="A1128" s="2" t="s">
        <v>375</v>
      </c>
      <c r="B1128" s="2">
        <v>6114</v>
      </c>
      <c r="C1128" s="2" t="s">
        <v>1074</v>
      </c>
    </row>
    <row r="1129" spans="1:3" x14ac:dyDescent="0.35">
      <c r="A1129" s="2" t="s">
        <v>375</v>
      </c>
      <c r="B1129" s="2">
        <v>6115</v>
      </c>
      <c r="C1129" s="2" t="s">
        <v>1075</v>
      </c>
    </row>
    <row r="1130" spans="1:3" x14ac:dyDescent="0.35">
      <c r="A1130" s="2" t="s">
        <v>375</v>
      </c>
      <c r="B1130" s="2">
        <v>6116</v>
      </c>
      <c r="C1130" s="2" t="s">
        <v>1076</v>
      </c>
    </row>
    <row r="1131" spans="1:3" x14ac:dyDescent="0.35">
      <c r="A1131" s="2" t="s">
        <v>375</v>
      </c>
      <c r="B1131" s="2">
        <v>6117</v>
      </c>
      <c r="C1131" s="2" t="s">
        <v>1077</v>
      </c>
    </row>
    <row r="1132" spans="1:3" x14ac:dyDescent="0.35">
      <c r="A1132" s="2" t="s">
        <v>375</v>
      </c>
      <c r="B1132" s="2">
        <v>6201</v>
      </c>
      <c r="C1132" s="2" t="s">
        <v>1078</v>
      </c>
    </row>
    <row r="1133" spans="1:3" x14ac:dyDescent="0.35">
      <c r="A1133" s="2" t="s">
        <v>375</v>
      </c>
      <c r="B1133" s="2">
        <v>6202</v>
      </c>
      <c r="C1133" s="2" t="s">
        <v>1079</v>
      </c>
    </row>
    <row r="1134" spans="1:3" x14ac:dyDescent="0.35">
      <c r="A1134" s="2" t="s">
        <v>375</v>
      </c>
      <c r="B1134" s="2">
        <v>6203</v>
      </c>
      <c r="C1134" s="2" t="s">
        <v>1080</v>
      </c>
    </row>
    <row r="1135" spans="1:3" x14ac:dyDescent="0.35">
      <c r="A1135" s="2" t="s">
        <v>375</v>
      </c>
      <c r="B1135" s="2">
        <v>6204</v>
      </c>
      <c r="C1135" s="2" t="s">
        <v>1081</v>
      </c>
    </row>
    <row r="1136" spans="1:3" x14ac:dyDescent="0.35">
      <c r="A1136" s="2" t="s">
        <v>375</v>
      </c>
      <c r="B1136" s="2">
        <v>6205</v>
      </c>
      <c r="C1136" s="2" t="s">
        <v>1082</v>
      </c>
    </row>
    <row r="1137" spans="1:3" x14ac:dyDescent="0.35">
      <c r="A1137" s="2" t="s">
        <v>375</v>
      </c>
      <c r="B1137" s="2">
        <v>6206</v>
      </c>
      <c r="C1137" s="2" t="s">
        <v>1083</v>
      </c>
    </row>
    <row r="1138" spans="1:3" x14ac:dyDescent="0.35">
      <c r="A1138" s="2" t="s">
        <v>375</v>
      </c>
      <c r="B1138" s="2">
        <v>6301</v>
      </c>
      <c r="C1138" s="2" t="s">
        <v>1084</v>
      </c>
    </row>
    <row r="1139" spans="1:3" x14ac:dyDescent="0.35">
      <c r="A1139" s="2" t="s">
        <v>375</v>
      </c>
      <c r="B1139" s="2">
        <v>6302</v>
      </c>
      <c r="C1139" s="2" t="s">
        <v>1085</v>
      </c>
    </row>
    <row r="1140" spans="1:3" x14ac:dyDescent="0.35">
      <c r="A1140" s="2" t="s">
        <v>375</v>
      </c>
      <c r="B1140" s="2">
        <v>6303</v>
      </c>
      <c r="C1140" s="2" t="s">
        <v>1086</v>
      </c>
    </row>
    <row r="1141" spans="1:3" x14ac:dyDescent="0.35">
      <c r="A1141" s="2" t="s">
        <v>375</v>
      </c>
      <c r="B1141" s="2">
        <v>6304</v>
      </c>
      <c r="C1141" s="2" t="s">
        <v>1087</v>
      </c>
    </row>
    <row r="1142" spans="1:3" x14ac:dyDescent="0.35">
      <c r="A1142" s="2" t="s">
        <v>375</v>
      </c>
      <c r="B1142" s="2">
        <v>6305</v>
      </c>
      <c r="C1142" s="2" t="s">
        <v>1088</v>
      </c>
    </row>
    <row r="1143" spans="1:3" x14ac:dyDescent="0.35">
      <c r="A1143" s="2" t="s">
        <v>375</v>
      </c>
      <c r="B1143" s="2">
        <v>6306</v>
      </c>
      <c r="C1143" s="2" t="s">
        <v>1089</v>
      </c>
    </row>
    <row r="1144" spans="1:3" x14ac:dyDescent="0.35">
      <c r="A1144" s="2" t="s">
        <v>375</v>
      </c>
      <c r="B1144" s="2">
        <v>6307</v>
      </c>
      <c r="C1144" s="2" t="s">
        <v>1090</v>
      </c>
    </row>
    <row r="1145" spans="1:3" x14ac:dyDescent="0.35">
      <c r="A1145" s="2" t="s">
        <v>375</v>
      </c>
      <c r="B1145" s="2">
        <v>6308</v>
      </c>
      <c r="C1145" s="2" t="s">
        <v>1091</v>
      </c>
    </row>
    <row r="1146" spans="1:3" x14ac:dyDescent="0.35">
      <c r="A1146" s="2" t="s">
        <v>375</v>
      </c>
      <c r="B1146" s="2">
        <v>6309</v>
      </c>
      <c r="C1146" s="2" t="s">
        <v>1092</v>
      </c>
    </row>
    <row r="1147" spans="1:3" x14ac:dyDescent="0.35">
      <c r="A1147" s="2" t="s">
        <v>375</v>
      </c>
      <c r="B1147" s="2">
        <v>6310</v>
      </c>
      <c r="C1147" s="2" t="s">
        <v>1093</v>
      </c>
    </row>
    <row r="1148" spans="1:3" x14ac:dyDescent="0.35">
      <c r="A1148" s="2" t="s">
        <v>375</v>
      </c>
      <c r="B1148" s="2">
        <v>7101</v>
      </c>
      <c r="C1148" s="2" t="s">
        <v>1094</v>
      </c>
    </row>
    <row r="1149" spans="1:3" x14ac:dyDescent="0.35">
      <c r="A1149" s="2" t="s">
        <v>375</v>
      </c>
      <c r="B1149" s="2">
        <v>7102</v>
      </c>
      <c r="C1149" s="2" t="s">
        <v>1095</v>
      </c>
    </row>
    <row r="1150" spans="1:3" x14ac:dyDescent="0.35">
      <c r="A1150" s="2" t="s">
        <v>375</v>
      </c>
      <c r="B1150" s="2">
        <v>7103</v>
      </c>
      <c r="C1150" s="2" t="s">
        <v>1096</v>
      </c>
    </row>
    <row r="1151" spans="1:3" x14ac:dyDescent="0.35">
      <c r="A1151" s="2" t="s">
        <v>375</v>
      </c>
      <c r="B1151" s="2">
        <v>7104</v>
      </c>
      <c r="C1151" s="2" t="s">
        <v>1097</v>
      </c>
    </row>
    <row r="1152" spans="1:3" x14ac:dyDescent="0.35">
      <c r="A1152" s="2" t="s">
        <v>375</v>
      </c>
      <c r="B1152" s="2">
        <v>7105</v>
      </c>
      <c r="C1152" s="2" t="s">
        <v>1098</v>
      </c>
    </row>
    <row r="1153" spans="1:3" x14ac:dyDescent="0.35">
      <c r="A1153" s="2" t="s">
        <v>375</v>
      </c>
      <c r="B1153" s="2">
        <v>7106</v>
      </c>
      <c r="C1153" s="2" t="s">
        <v>1099</v>
      </c>
    </row>
    <row r="1154" spans="1:3" x14ac:dyDescent="0.35">
      <c r="A1154" s="2" t="s">
        <v>375</v>
      </c>
      <c r="B1154" s="2">
        <v>7107</v>
      </c>
      <c r="C1154" s="2" t="s">
        <v>1100</v>
      </c>
    </row>
    <row r="1155" spans="1:3" x14ac:dyDescent="0.35">
      <c r="A1155" s="2" t="s">
        <v>375</v>
      </c>
      <c r="B1155" s="2">
        <v>7108</v>
      </c>
      <c r="C1155" s="2" t="s">
        <v>1101</v>
      </c>
    </row>
    <row r="1156" spans="1:3" x14ac:dyDescent="0.35">
      <c r="A1156" s="2" t="s">
        <v>375</v>
      </c>
      <c r="B1156" s="2">
        <v>7109</v>
      </c>
      <c r="C1156" s="2" t="s">
        <v>1102</v>
      </c>
    </row>
    <row r="1157" spans="1:3" x14ac:dyDescent="0.35">
      <c r="A1157" s="2" t="s">
        <v>375</v>
      </c>
      <c r="B1157" s="2">
        <v>7110</v>
      </c>
      <c r="C1157" s="2" t="s">
        <v>1103</v>
      </c>
    </row>
    <row r="1158" spans="1:3" x14ac:dyDescent="0.35">
      <c r="A1158" s="2" t="s">
        <v>375</v>
      </c>
      <c r="B1158" s="2">
        <v>7201</v>
      </c>
      <c r="C1158" s="2" t="s">
        <v>1104</v>
      </c>
    </row>
    <row r="1159" spans="1:3" x14ac:dyDescent="0.35">
      <c r="A1159" s="2" t="s">
        <v>375</v>
      </c>
      <c r="B1159" s="2">
        <v>7202</v>
      </c>
      <c r="C1159" s="2" t="s">
        <v>1105</v>
      </c>
    </row>
    <row r="1160" spans="1:3" x14ac:dyDescent="0.35">
      <c r="A1160" s="2" t="s">
        <v>375</v>
      </c>
      <c r="B1160" s="2">
        <v>7203</v>
      </c>
      <c r="C1160" s="2" t="s">
        <v>1106</v>
      </c>
    </row>
    <row r="1161" spans="1:3" x14ac:dyDescent="0.35">
      <c r="A1161" s="2" t="s">
        <v>375</v>
      </c>
      <c r="B1161" s="2">
        <v>7301</v>
      </c>
      <c r="C1161" s="2" t="s">
        <v>1107</v>
      </c>
    </row>
    <row r="1162" spans="1:3" x14ac:dyDescent="0.35">
      <c r="A1162" s="2" t="s">
        <v>375</v>
      </c>
      <c r="B1162" s="2">
        <v>7302</v>
      </c>
      <c r="C1162" s="2" t="s">
        <v>1108</v>
      </c>
    </row>
    <row r="1163" spans="1:3" x14ac:dyDescent="0.35">
      <c r="A1163" s="2" t="s">
        <v>375</v>
      </c>
      <c r="B1163" s="2">
        <v>7303</v>
      </c>
      <c r="C1163" s="2" t="s">
        <v>1109</v>
      </c>
    </row>
    <row r="1164" spans="1:3" x14ac:dyDescent="0.35">
      <c r="A1164" s="2" t="s">
        <v>375</v>
      </c>
      <c r="B1164" s="2">
        <v>7304</v>
      </c>
      <c r="C1164" s="2" t="s">
        <v>1110</v>
      </c>
    </row>
    <row r="1165" spans="1:3" x14ac:dyDescent="0.35">
      <c r="A1165" s="2" t="s">
        <v>375</v>
      </c>
      <c r="B1165" s="2">
        <v>7305</v>
      </c>
      <c r="C1165" s="2" t="s">
        <v>1111</v>
      </c>
    </row>
    <row r="1166" spans="1:3" x14ac:dyDescent="0.35">
      <c r="A1166" s="2" t="s">
        <v>375</v>
      </c>
      <c r="B1166" s="2">
        <v>7306</v>
      </c>
      <c r="C1166" s="2" t="s">
        <v>1112</v>
      </c>
    </row>
    <row r="1167" spans="1:3" x14ac:dyDescent="0.35">
      <c r="A1167" s="2" t="s">
        <v>375</v>
      </c>
      <c r="B1167" s="2">
        <v>7307</v>
      </c>
      <c r="C1167" s="2" t="s">
        <v>1113</v>
      </c>
    </row>
    <row r="1168" spans="1:3" x14ac:dyDescent="0.35">
      <c r="A1168" s="2" t="s">
        <v>375</v>
      </c>
      <c r="B1168" s="2">
        <v>7308</v>
      </c>
      <c r="C1168" s="2" t="s">
        <v>1114</v>
      </c>
    </row>
    <row r="1169" spans="1:3" x14ac:dyDescent="0.35">
      <c r="A1169" s="2" t="s">
        <v>375</v>
      </c>
      <c r="B1169" s="2">
        <v>7309</v>
      </c>
      <c r="C1169" s="2" t="s">
        <v>1115</v>
      </c>
    </row>
    <row r="1170" spans="1:3" x14ac:dyDescent="0.35">
      <c r="A1170" s="2" t="s">
        <v>375</v>
      </c>
      <c r="B1170" s="2">
        <v>7401</v>
      </c>
      <c r="C1170" s="2" t="s">
        <v>1116</v>
      </c>
    </row>
    <row r="1171" spans="1:3" x14ac:dyDescent="0.35">
      <c r="A1171" s="2" t="s">
        <v>375</v>
      </c>
      <c r="B1171" s="2">
        <v>7402</v>
      </c>
      <c r="C1171" s="2" t="s">
        <v>1117</v>
      </c>
    </row>
    <row r="1172" spans="1:3" x14ac:dyDescent="0.35">
      <c r="A1172" s="2" t="s">
        <v>375</v>
      </c>
      <c r="B1172" s="2">
        <v>7403</v>
      </c>
      <c r="C1172" s="2" t="s">
        <v>1118</v>
      </c>
    </row>
    <row r="1173" spans="1:3" x14ac:dyDescent="0.35">
      <c r="A1173" s="2" t="s">
        <v>375</v>
      </c>
      <c r="B1173" s="2">
        <v>7404</v>
      </c>
      <c r="C1173" s="2" t="s">
        <v>1119</v>
      </c>
    </row>
    <row r="1174" spans="1:3" x14ac:dyDescent="0.35">
      <c r="A1174" s="2" t="s">
        <v>375</v>
      </c>
      <c r="B1174" s="2">
        <v>7405</v>
      </c>
      <c r="C1174" s="2" t="s">
        <v>1120</v>
      </c>
    </row>
    <row r="1175" spans="1:3" x14ac:dyDescent="0.35">
      <c r="A1175" s="2" t="s">
        <v>375</v>
      </c>
      <c r="B1175" s="2">
        <v>7406</v>
      </c>
      <c r="C1175" s="2" t="s">
        <v>1121</v>
      </c>
    </row>
    <row r="1176" spans="1:3" x14ac:dyDescent="0.35">
      <c r="A1176" s="2" t="s">
        <v>375</v>
      </c>
      <c r="B1176" s="2">
        <v>7407</v>
      </c>
      <c r="C1176" s="2" t="s">
        <v>1122</v>
      </c>
    </row>
    <row r="1177" spans="1:3" x14ac:dyDescent="0.35">
      <c r="A1177" s="2" t="s">
        <v>375</v>
      </c>
      <c r="B1177" s="2">
        <v>7408</v>
      </c>
      <c r="C1177" s="2" t="s">
        <v>1123</v>
      </c>
    </row>
    <row r="1178" spans="1:3" x14ac:dyDescent="0.35">
      <c r="A1178" s="2" t="s">
        <v>375</v>
      </c>
      <c r="B1178" s="2">
        <v>8101</v>
      </c>
      <c r="C1178" s="2" t="s">
        <v>1124</v>
      </c>
    </row>
    <row r="1179" spans="1:3" x14ac:dyDescent="0.35">
      <c r="A1179" s="2" t="s">
        <v>375</v>
      </c>
      <c r="B1179" s="2">
        <v>8102</v>
      </c>
      <c r="C1179" s="2" t="s">
        <v>1125</v>
      </c>
    </row>
    <row r="1180" spans="1:3" x14ac:dyDescent="0.35">
      <c r="A1180" s="2" t="s">
        <v>375</v>
      </c>
      <c r="B1180" s="2">
        <v>8103</v>
      </c>
      <c r="C1180" s="2" t="s">
        <v>1126</v>
      </c>
    </row>
    <row r="1181" spans="1:3" x14ac:dyDescent="0.35">
      <c r="A1181" s="2" t="s">
        <v>375</v>
      </c>
      <c r="B1181" s="2">
        <v>8104</v>
      </c>
      <c r="C1181" s="2" t="s">
        <v>1127</v>
      </c>
    </row>
    <row r="1182" spans="1:3" x14ac:dyDescent="0.35">
      <c r="A1182" s="2" t="s">
        <v>375</v>
      </c>
      <c r="B1182" s="2">
        <v>8105</v>
      </c>
      <c r="C1182" s="2" t="s">
        <v>1128</v>
      </c>
    </row>
    <row r="1183" spans="1:3" x14ac:dyDescent="0.35">
      <c r="A1183" s="2" t="s">
        <v>375</v>
      </c>
      <c r="B1183" s="2">
        <v>8106</v>
      </c>
      <c r="C1183" s="2" t="s">
        <v>1129</v>
      </c>
    </row>
    <row r="1184" spans="1:3" x14ac:dyDescent="0.35">
      <c r="A1184" s="2" t="s">
        <v>375</v>
      </c>
      <c r="B1184" s="2">
        <v>8107</v>
      </c>
      <c r="C1184" s="2" t="s">
        <v>1130</v>
      </c>
    </row>
    <row r="1185" spans="1:3" x14ac:dyDescent="0.35">
      <c r="A1185" s="2" t="s">
        <v>375</v>
      </c>
      <c r="B1185" s="2">
        <v>8108</v>
      </c>
      <c r="C1185" s="2" t="s">
        <v>1131</v>
      </c>
    </row>
    <row r="1186" spans="1:3" x14ac:dyDescent="0.35">
      <c r="A1186" s="2" t="s">
        <v>375</v>
      </c>
      <c r="B1186" s="2">
        <v>8109</v>
      </c>
      <c r="C1186" s="2" t="s">
        <v>1132</v>
      </c>
    </row>
    <row r="1187" spans="1:3" x14ac:dyDescent="0.35">
      <c r="A1187" s="2" t="s">
        <v>375</v>
      </c>
      <c r="B1187" s="2">
        <v>8110</v>
      </c>
      <c r="C1187" s="2" t="s">
        <v>1133</v>
      </c>
    </row>
    <row r="1188" spans="1:3" x14ac:dyDescent="0.35">
      <c r="A1188" s="2" t="s">
        <v>375</v>
      </c>
      <c r="B1188" s="2">
        <v>8111</v>
      </c>
      <c r="C1188" s="2" t="s">
        <v>1134</v>
      </c>
    </row>
    <row r="1189" spans="1:3" x14ac:dyDescent="0.35">
      <c r="A1189" s="2" t="s">
        <v>375</v>
      </c>
      <c r="B1189" s="2">
        <v>8112</v>
      </c>
      <c r="C1189" s="2" t="s">
        <v>1135</v>
      </c>
    </row>
    <row r="1190" spans="1:3" x14ac:dyDescent="0.35">
      <c r="A1190" s="2" t="s">
        <v>375</v>
      </c>
      <c r="B1190" s="2">
        <v>8201</v>
      </c>
      <c r="C1190" s="2" t="s">
        <v>1136</v>
      </c>
    </row>
    <row r="1191" spans="1:3" x14ac:dyDescent="0.35">
      <c r="A1191" s="2" t="s">
        <v>375</v>
      </c>
      <c r="B1191" s="2">
        <v>8202</v>
      </c>
      <c r="C1191" s="2" t="s">
        <v>1137</v>
      </c>
    </row>
    <row r="1192" spans="1:3" x14ac:dyDescent="0.35">
      <c r="A1192" s="2" t="s">
        <v>375</v>
      </c>
      <c r="B1192" s="2">
        <v>8203</v>
      </c>
      <c r="C1192" s="2" t="s">
        <v>1138</v>
      </c>
    </row>
    <row r="1193" spans="1:3" x14ac:dyDescent="0.35">
      <c r="A1193" s="2" t="s">
        <v>375</v>
      </c>
      <c r="B1193" s="2">
        <v>8204</v>
      </c>
      <c r="C1193" s="2" t="s">
        <v>1139</v>
      </c>
    </row>
    <row r="1194" spans="1:3" x14ac:dyDescent="0.35">
      <c r="A1194" s="2" t="s">
        <v>375</v>
      </c>
      <c r="B1194" s="2">
        <v>8205</v>
      </c>
      <c r="C1194" s="2" t="s">
        <v>1140</v>
      </c>
    </row>
    <row r="1195" spans="1:3" x14ac:dyDescent="0.35">
      <c r="A1195" s="2" t="s">
        <v>375</v>
      </c>
      <c r="B1195" s="2">
        <v>8206</v>
      </c>
      <c r="C1195" s="2" t="s">
        <v>1141</v>
      </c>
    </row>
    <row r="1196" spans="1:3" x14ac:dyDescent="0.35">
      <c r="A1196" s="2" t="s">
        <v>375</v>
      </c>
      <c r="B1196" s="2">
        <v>8207</v>
      </c>
      <c r="C1196" s="2" t="s">
        <v>1142</v>
      </c>
    </row>
    <row r="1197" spans="1:3" x14ac:dyDescent="0.35">
      <c r="A1197" s="2" t="s">
        <v>375</v>
      </c>
      <c r="B1197" s="2">
        <v>8301</v>
      </c>
      <c r="C1197" s="2" t="s">
        <v>1143</v>
      </c>
    </row>
    <row r="1198" spans="1:3" x14ac:dyDescent="0.35">
      <c r="A1198" s="2" t="s">
        <v>375</v>
      </c>
      <c r="B1198" s="2">
        <v>8302</v>
      </c>
      <c r="C1198" s="2" t="s">
        <v>1144</v>
      </c>
    </row>
    <row r="1199" spans="1:3" x14ac:dyDescent="0.35">
      <c r="A1199" s="2" t="s">
        <v>375</v>
      </c>
      <c r="B1199" s="2">
        <v>8303</v>
      </c>
      <c r="C1199" s="2" t="s">
        <v>1145</v>
      </c>
    </row>
    <row r="1200" spans="1:3" x14ac:dyDescent="0.35">
      <c r="A1200" s="2" t="s">
        <v>375</v>
      </c>
      <c r="B1200" s="2">
        <v>8304</v>
      </c>
      <c r="C1200" s="2" t="s">
        <v>1146</v>
      </c>
    </row>
    <row r="1201" spans="1:3" x14ac:dyDescent="0.35">
      <c r="A1201" s="2" t="s">
        <v>375</v>
      </c>
      <c r="B1201" s="2">
        <v>8305</v>
      </c>
      <c r="C1201" s="2" t="s">
        <v>1147</v>
      </c>
    </row>
    <row r="1202" spans="1:3" x14ac:dyDescent="0.35">
      <c r="A1202" s="2" t="s">
        <v>375</v>
      </c>
      <c r="B1202" s="2">
        <v>8306</v>
      </c>
      <c r="C1202" s="2" t="s">
        <v>1148</v>
      </c>
    </row>
    <row r="1203" spans="1:3" x14ac:dyDescent="0.35">
      <c r="A1203" s="2" t="s">
        <v>375</v>
      </c>
      <c r="B1203" s="2">
        <v>8307</v>
      </c>
      <c r="C1203" s="2" t="s">
        <v>1149</v>
      </c>
    </row>
    <row r="1204" spans="1:3" x14ac:dyDescent="0.35">
      <c r="A1204" s="2" t="s">
        <v>375</v>
      </c>
      <c r="B1204" s="2">
        <v>8308</v>
      </c>
      <c r="C1204" s="2" t="s">
        <v>1150</v>
      </c>
    </row>
    <row r="1205" spans="1:3" x14ac:dyDescent="0.35">
      <c r="A1205" s="2" t="s">
        <v>375</v>
      </c>
      <c r="B1205" s="2">
        <v>8309</v>
      </c>
      <c r="C1205" s="2" t="s">
        <v>1151</v>
      </c>
    </row>
    <row r="1206" spans="1:3" x14ac:dyDescent="0.35">
      <c r="A1206" s="2" t="s">
        <v>375</v>
      </c>
      <c r="B1206" s="2">
        <v>8310</v>
      </c>
      <c r="C1206" s="2" t="s">
        <v>1152</v>
      </c>
    </row>
    <row r="1207" spans="1:3" x14ac:dyDescent="0.35">
      <c r="A1207" s="2" t="s">
        <v>375</v>
      </c>
      <c r="B1207" s="2">
        <v>8311</v>
      </c>
      <c r="C1207" s="2" t="s">
        <v>1153</v>
      </c>
    </row>
    <row r="1208" spans="1:3" x14ac:dyDescent="0.35">
      <c r="A1208" s="2" t="s">
        <v>375</v>
      </c>
      <c r="B1208" s="2">
        <v>8312</v>
      </c>
      <c r="C1208" s="2" t="s">
        <v>1154</v>
      </c>
    </row>
    <row r="1209" spans="1:3" x14ac:dyDescent="0.35">
      <c r="A1209" s="2" t="s">
        <v>375</v>
      </c>
      <c r="B1209" s="2">
        <v>8313</v>
      </c>
      <c r="C1209" s="2" t="s">
        <v>1155</v>
      </c>
    </row>
    <row r="1210" spans="1:3" x14ac:dyDescent="0.35">
      <c r="A1210" s="2" t="s">
        <v>375</v>
      </c>
      <c r="B1210" s="2">
        <v>8314</v>
      </c>
      <c r="C1210" s="2" t="s">
        <v>1156</v>
      </c>
    </row>
    <row r="1211" spans="1:3" x14ac:dyDescent="0.35">
      <c r="A1211" s="2" t="s">
        <v>375</v>
      </c>
      <c r="B1211" s="2">
        <v>8401</v>
      </c>
      <c r="C1211" s="2" t="s">
        <v>1157</v>
      </c>
    </row>
    <row r="1212" spans="1:3" x14ac:dyDescent="0.35">
      <c r="A1212" s="2" t="s">
        <v>375</v>
      </c>
      <c r="B1212" s="2">
        <v>8402</v>
      </c>
      <c r="C1212" s="2" t="s">
        <v>1158</v>
      </c>
    </row>
    <row r="1213" spans="1:3" x14ac:dyDescent="0.35">
      <c r="A1213" s="2" t="s">
        <v>375</v>
      </c>
      <c r="B1213" s="2">
        <v>8403</v>
      </c>
      <c r="C1213" s="2" t="s">
        <v>1159</v>
      </c>
    </row>
    <row r="1214" spans="1:3" x14ac:dyDescent="0.35">
      <c r="A1214" s="2" t="s">
        <v>375</v>
      </c>
      <c r="B1214" s="2">
        <v>8404</v>
      </c>
      <c r="C1214" s="2" t="s">
        <v>1160</v>
      </c>
    </row>
    <row r="1215" spans="1:3" x14ac:dyDescent="0.35">
      <c r="A1215" s="2" t="s">
        <v>375</v>
      </c>
      <c r="B1215" s="2">
        <v>8405</v>
      </c>
      <c r="C1215" s="2" t="s">
        <v>1161</v>
      </c>
    </row>
    <row r="1216" spans="1:3" x14ac:dyDescent="0.35">
      <c r="A1216" s="2" t="s">
        <v>375</v>
      </c>
      <c r="B1216" s="2">
        <v>8406</v>
      </c>
      <c r="C1216" s="2" t="s">
        <v>1162</v>
      </c>
    </row>
    <row r="1217" spans="1:3" x14ac:dyDescent="0.35">
      <c r="A1217" s="2" t="s">
        <v>375</v>
      </c>
      <c r="B1217" s="2">
        <v>8407</v>
      </c>
      <c r="C1217" s="2" t="s">
        <v>1163</v>
      </c>
    </row>
    <row r="1218" spans="1:3" x14ac:dyDescent="0.35">
      <c r="A1218" s="2" t="s">
        <v>375</v>
      </c>
      <c r="B1218" s="2">
        <v>8408</v>
      </c>
      <c r="C1218" s="2" t="s">
        <v>1164</v>
      </c>
    </row>
    <row r="1219" spans="1:3" x14ac:dyDescent="0.35">
      <c r="A1219" s="2" t="s">
        <v>375</v>
      </c>
      <c r="B1219" s="2">
        <v>8409</v>
      </c>
      <c r="C1219" s="2" t="s">
        <v>1165</v>
      </c>
    </row>
    <row r="1220" spans="1:3" x14ac:dyDescent="0.35">
      <c r="A1220" s="2" t="s">
        <v>375</v>
      </c>
      <c r="B1220" s="2">
        <v>8410</v>
      </c>
      <c r="C1220" s="2" t="s">
        <v>1166</v>
      </c>
    </row>
    <row r="1221" spans="1:3" x14ac:dyDescent="0.35">
      <c r="A1221" s="2" t="s">
        <v>375</v>
      </c>
      <c r="B1221" s="2">
        <v>8411</v>
      </c>
      <c r="C1221" s="2" t="s">
        <v>1167</v>
      </c>
    </row>
    <row r="1222" spans="1:3" x14ac:dyDescent="0.35">
      <c r="A1222" s="2" t="s">
        <v>375</v>
      </c>
      <c r="B1222" s="2">
        <v>8412</v>
      </c>
      <c r="C1222" s="2" t="s">
        <v>1168</v>
      </c>
    </row>
    <row r="1223" spans="1:3" x14ac:dyDescent="0.35">
      <c r="A1223" s="2" t="s">
        <v>375</v>
      </c>
      <c r="B1223" s="2">
        <v>8413</v>
      </c>
      <c r="C1223" s="2" t="s">
        <v>1169</v>
      </c>
    </row>
    <row r="1224" spans="1:3" x14ac:dyDescent="0.35">
      <c r="A1224" s="2" t="s">
        <v>375</v>
      </c>
      <c r="B1224" s="2">
        <v>8414</v>
      </c>
      <c r="C1224" s="2" t="s">
        <v>1170</v>
      </c>
    </row>
    <row r="1225" spans="1:3" x14ac:dyDescent="0.35">
      <c r="A1225" s="2" t="s">
        <v>375</v>
      </c>
      <c r="B1225" s="2">
        <v>8415</v>
      </c>
      <c r="C1225" s="2" t="s">
        <v>1171</v>
      </c>
    </row>
    <row r="1226" spans="1:3" x14ac:dyDescent="0.35">
      <c r="A1226" s="2" t="s">
        <v>375</v>
      </c>
      <c r="B1226" s="2">
        <v>8416</v>
      </c>
      <c r="C1226" s="2" t="s">
        <v>1172</v>
      </c>
    </row>
    <row r="1227" spans="1:3" x14ac:dyDescent="0.35">
      <c r="A1227" s="2" t="s">
        <v>375</v>
      </c>
      <c r="B1227" s="2">
        <v>8417</v>
      </c>
      <c r="C1227" s="2" t="s">
        <v>1173</v>
      </c>
    </row>
    <row r="1228" spans="1:3" x14ac:dyDescent="0.35">
      <c r="A1228" s="2" t="s">
        <v>375</v>
      </c>
      <c r="B1228" s="2">
        <v>8418</v>
      </c>
      <c r="C1228" s="2" t="s">
        <v>1174</v>
      </c>
    </row>
    <row r="1229" spans="1:3" x14ac:dyDescent="0.35">
      <c r="A1229" s="2" t="s">
        <v>375</v>
      </c>
      <c r="B1229" s="2">
        <v>8419</v>
      </c>
      <c r="C1229" s="2" t="s">
        <v>1175</v>
      </c>
    </row>
    <row r="1230" spans="1:3" x14ac:dyDescent="0.35">
      <c r="A1230" s="2" t="s">
        <v>375</v>
      </c>
      <c r="B1230" s="2">
        <v>8420</v>
      </c>
      <c r="C1230" s="2" t="s">
        <v>1176</v>
      </c>
    </row>
    <row r="1231" spans="1:3" x14ac:dyDescent="0.35">
      <c r="A1231" s="2" t="s">
        <v>375</v>
      </c>
      <c r="B1231" s="2">
        <v>8421</v>
      </c>
      <c r="C1231" s="2" t="s">
        <v>1177</v>
      </c>
    </row>
    <row r="1232" spans="1:3" x14ac:dyDescent="0.35">
      <c r="A1232" s="2" t="s">
        <v>375</v>
      </c>
      <c r="B1232" s="2">
        <v>9101</v>
      </c>
      <c r="C1232" s="2" t="s">
        <v>1178</v>
      </c>
    </row>
    <row r="1233" spans="1:3" x14ac:dyDescent="0.35">
      <c r="A1233" s="2" t="s">
        <v>375</v>
      </c>
      <c r="B1233" s="2">
        <v>9102</v>
      </c>
      <c r="C1233" s="2" t="s">
        <v>1179</v>
      </c>
    </row>
    <row r="1234" spans="1:3" x14ac:dyDescent="0.35">
      <c r="A1234" s="2" t="s">
        <v>375</v>
      </c>
      <c r="B1234" s="2">
        <v>9103</v>
      </c>
      <c r="C1234" s="2" t="s">
        <v>1180</v>
      </c>
    </row>
    <row r="1235" spans="1:3" x14ac:dyDescent="0.35">
      <c r="A1235" s="2" t="s">
        <v>375</v>
      </c>
      <c r="B1235" s="2">
        <v>9104</v>
      </c>
      <c r="C1235" s="2" t="s">
        <v>1181</v>
      </c>
    </row>
    <row r="1236" spans="1:3" x14ac:dyDescent="0.35">
      <c r="A1236" s="2" t="s">
        <v>375</v>
      </c>
      <c r="B1236" s="2">
        <v>9105</v>
      </c>
      <c r="C1236" s="2" t="s">
        <v>1182</v>
      </c>
    </row>
    <row r="1237" spans="1:3" x14ac:dyDescent="0.35">
      <c r="A1237" s="2" t="s">
        <v>375</v>
      </c>
      <c r="B1237" s="2">
        <v>9106</v>
      </c>
      <c r="C1237" s="2" t="s">
        <v>1183</v>
      </c>
    </row>
    <row r="1238" spans="1:3" x14ac:dyDescent="0.35">
      <c r="A1238" s="2" t="s">
        <v>375</v>
      </c>
      <c r="B1238" s="2">
        <v>9107</v>
      </c>
      <c r="C1238" s="2" t="s">
        <v>1184</v>
      </c>
    </row>
    <row r="1239" spans="1:3" x14ac:dyDescent="0.35">
      <c r="A1239" s="2" t="s">
        <v>375</v>
      </c>
      <c r="B1239" s="2">
        <v>9108</v>
      </c>
      <c r="C1239" s="2" t="s">
        <v>1185</v>
      </c>
    </row>
    <row r="1240" spans="1:3" x14ac:dyDescent="0.35">
      <c r="A1240" s="2" t="s">
        <v>375</v>
      </c>
      <c r="B1240" s="2">
        <v>9109</v>
      </c>
      <c r="C1240" s="2" t="s">
        <v>1186</v>
      </c>
    </row>
    <row r="1241" spans="1:3" x14ac:dyDescent="0.35">
      <c r="A1241" s="2" t="s">
        <v>375</v>
      </c>
      <c r="B1241" s="2">
        <v>9110</v>
      </c>
      <c r="C1241" s="2" t="s">
        <v>1187</v>
      </c>
    </row>
    <row r="1242" spans="1:3" x14ac:dyDescent="0.35">
      <c r="A1242" s="2" t="s">
        <v>375</v>
      </c>
      <c r="B1242" s="2">
        <v>9111</v>
      </c>
      <c r="C1242" s="2" t="s">
        <v>1188</v>
      </c>
    </row>
    <row r="1243" spans="1:3" x14ac:dyDescent="0.35">
      <c r="A1243" s="2" t="s">
        <v>375</v>
      </c>
      <c r="B1243" s="2">
        <v>9112</v>
      </c>
      <c r="C1243" s="2" t="s">
        <v>1189</v>
      </c>
    </row>
    <row r="1244" spans="1:3" x14ac:dyDescent="0.35">
      <c r="A1244" s="2" t="s">
        <v>375</v>
      </c>
      <c r="B1244" s="2">
        <v>9113</v>
      </c>
      <c r="C1244" s="2" t="s">
        <v>1190</v>
      </c>
    </row>
    <row r="1245" spans="1:3" x14ac:dyDescent="0.35">
      <c r="A1245" s="2" t="s">
        <v>375</v>
      </c>
      <c r="B1245" s="2">
        <v>9114</v>
      </c>
      <c r="C1245" s="2" t="s">
        <v>1191</v>
      </c>
    </row>
    <row r="1246" spans="1:3" x14ac:dyDescent="0.35">
      <c r="A1246" s="2" t="s">
        <v>375</v>
      </c>
      <c r="B1246" s="2">
        <v>9115</v>
      </c>
      <c r="C1246" s="2" t="s">
        <v>1192</v>
      </c>
    </row>
    <row r="1247" spans="1:3" x14ac:dyDescent="0.35">
      <c r="A1247" s="2" t="s">
        <v>375</v>
      </c>
      <c r="B1247" s="2">
        <v>9116</v>
      </c>
      <c r="C1247" s="2" t="s">
        <v>1193</v>
      </c>
    </row>
    <row r="1248" spans="1:3" x14ac:dyDescent="0.35">
      <c r="A1248" s="2" t="s">
        <v>375</v>
      </c>
      <c r="B1248" s="2">
        <v>9117</v>
      </c>
      <c r="C1248" s="2" t="s">
        <v>1194</v>
      </c>
    </row>
    <row r="1249" spans="1:3" x14ac:dyDescent="0.35">
      <c r="A1249" s="2" t="s">
        <v>375</v>
      </c>
      <c r="B1249" s="2">
        <v>9118</v>
      </c>
      <c r="C1249" s="2" t="s">
        <v>1195</v>
      </c>
    </row>
    <row r="1250" spans="1:3" x14ac:dyDescent="0.35">
      <c r="A1250" s="2" t="s">
        <v>375</v>
      </c>
      <c r="B1250" s="2">
        <v>9119</v>
      </c>
      <c r="C1250" s="2" t="s">
        <v>1196</v>
      </c>
    </row>
    <row r="1251" spans="1:3" x14ac:dyDescent="0.35">
      <c r="A1251" s="2" t="s">
        <v>375</v>
      </c>
      <c r="B1251" s="2">
        <v>9120</v>
      </c>
      <c r="C1251" s="2" t="s">
        <v>1197</v>
      </c>
    </row>
    <row r="1252" spans="1:3" x14ac:dyDescent="0.35">
      <c r="A1252" s="2" t="s">
        <v>375</v>
      </c>
      <c r="B1252" s="2">
        <v>9121</v>
      </c>
      <c r="C1252" s="2" t="s">
        <v>1198</v>
      </c>
    </row>
    <row r="1253" spans="1:3" x14ac:dyDescent="0.35">
      <c r="A1253" s="2" t="s">
        <v>375</v>
      </c>
      <c r="B1253" s="2">
        <v>9201</v>
      </c>
      <c r="C1253" s="2" t="s">
        <v>1199</v>
      </c>
    </row>
    <row r="1254" spans="1:3" x14ac:dyDescent="0.35">
      <c r="A1254" s="2" t="s">
        <v>375</v>
      </c>
      <c r="B1254" s="2">
        <v>9202</v>
      </c>
      <c r="C1254" s="2" t="s">
        <v>1200</v>
      </c>
    </row>
    <row r="1255" spans="1:3" x14ac:dyDescent="0.35">
      <c r="A1255" s="2" t="s">
        <v>375</v>
      </c>
      <c r="B1255" s="2">
        <v>9203</v>
      </c>
      <c r="C1255" s="2" t="s">
        <v>1201</v>
      </c>
    </row>
    <row r="1256" spans="1:3" x14ac:dyDescent="0.35">
      <c r="A1256" s="2" t="s">
        <v>375</v>
      </c>
      <c r="B1256" s="2">
        <v>9204</v>
      </c>
      <c r="C1256" s="2" t="s">
        <v>1202</v>
      </c>
    </row>
    <row r="1257" spans="1:3" x14ac:dyDescent="0.35">
      <c r="A1257" s="2" t="s">
        <v>375</v>
      </c>
      <c r="B1257" s="2">
        <v>9205</v>
      </c>
      <c r="C1257" s="2" t="s">
        <v>1203</v>
      </c>
    </row>
    <row r="1258" spans="1:3" x14ac:dyDescent="0.35">
      <c r="A1258" s="2" t="s">
        <v>375</v>
      </c>
      <c r="B1258" s="2">
        <v>9206</v>
      </c>
      <c r="C1258" s="2" t="s">
        <v>1204</v>
      </c>
    </row>
    <row r="1259" spans="1:3" x14ac:dyDescent="0.35">
      <c r="A1259" s="2" t="s">
        <v>375</v>
      </c>
      <c r="B1259" s="2">
        <v>9207</v>
      </c>
      <c r="C1259" s="2" t="s">
        <v>1205</v>
      </c>
    </row>
    <row r="1260" spans="1:3" x14ac:dyDescent="0.35">
      <c r="A1260" s="2" t="s">
        <v>375</v>
      </c>
      <c r="B1260" s="2">
        <v>9208</v>
      </c>
      <c r="C1260" s="2" t="s">
        <v>1206</v>
      </c>
    </row>
    <row r="1261" spans="1:3" x14ac:dyDescent="0.35">
      <c r="A1261" s="2" t="s">
        <v>375</v>
      </c>
      <c r="B1261" s="2">
        <v>9209</v>
      </c>
      <c r="C1261" s="2" t="s">
        <v>1207</v>
      </c>
    </row>
    <row r="1262" spans="1:3" x14ac:dyDescent="0.35">
      <c r="A1262" s="2" t="s">
        <v>375</v>
      </c>
      <c r="B1262" s="2">
        <v>9210</v>
      </c>
      <c r="C1262" s="2" t="s">
        <v>1208</v>
      </c>
    </row>
    <row r="1263" spans="1:3" x14ac:dyDescent="0.35">
      <c r="A1263" s="2" t="s">
        <v>375</v>
      </c>
      <c r="B1263" s="2">
        <v>9211</v>
      </c>
      <c r="C1263" s="2" t="s">
        <v>1209</v>
      </c>
    </row>
    <row r="1264" spans="1:3" x14ac:dyDescent="0.35">
      <c r="A1264" s="2" t="s">
        <v>375</v>
      </c>
      <c r="B1264" s="2">
        <v>10101</v>
      </c>
      <c r="C1264" s="2" t="s">
        <v>1210</v>
      </c>
    </row>
    <row r="1265" spans="1:3" x14ac:dyDescent="0.35">
      <c r="A1265" s="2" t="s">
        <v>375</v>
      </c>
      <c r="B1265" s="2">
        <v>10102</v>
      </c>
      <c r="C1265" s="2" t="s">
        <v>1211</v>
      </c>
    </row>
    <row r="1266" spans="1:3" x14ac:dyDescent="0.35">
      <c r="A1266" s="2" t="s">
        <v>375</v>
      </c>
      <c r="B1266" s="2">
        <v>10103</v>
      </c>
      <c r="C1266" s="2" t="s">
        <v>1212</v>
      </c>
    </row>
    <row r="1267" spans="1:3" x14ac:dyDescent="0.35">
      <c r="A1267" s="2" t="s">
        <v>375</v>
      </c>
      <c r="B1267" s="2">
        <v>10104</v>
      </c>
      <c r="C1267" s="2" t="s">
        <v>1213</v>
      </c>
    </row>
    <row r="1268" spans="1:3" x14ac:dyDescent="0.35">
      <c r="A1268" s="2" t="s">
        <v>375</v>
      </c>
      <c r="B1268" s="2">
        <v>10105</v>
      </c>
      <c r="C1268" s="2" t="s">
        <v>1214</v>
      </c>
    </row>
    <row r="1269" spans="1:3" x14ac:dyDescent="0.35">
      <c r="A1269" s="2" t="s">
        <v>375</v>
      </c>
      <c r="B1269" s="2">
        <v>10106</v>
      </c>
      <c r="C1269" s="2" t="s">
        <v>1215</v>
      </c>
    </row>
    <row r="1270" spans="1:3" x14ac:dyDescent="0.35">
      <c r="A1270" s="2" t="s">
        <v>375</v>
      </c>
      <c r="B1270" s="2">
        <v>10107</v>
      </c>
      <c r="C1270" s="2" t="s">
        <v>1216</v>
      </c>
    </row>
    <row r="1271" spans="1:3" x14ac:dyDescent="0.35">
      <c r="A1271" s="2" t="s">
        <v>375</v>
      </c>
      <c r="B1271" s="2">
        <v>10108</v>
      </c>
      <c r="C1271" s="2" t="s">
        <v>1217</v>
      </c>
    </row>
    <row r="1272" spans="1:3" x14ac:dyDescent="0.35">
      <c r="A1272" s="2" t="s">
        <v>375</v>
      </c>
      <c r="B1272" s="2">
        <v>10109</v>
      </c>
      <c r="C1272" s="2" t="s">
        <v>1218</v>
      </c>
    </row>
    <row r="1273" spans="1:3" x14ac:dyDescent="0.35">
      <c r="A1273" s="2" t="s">
        <v>375</v>
      </c>
      <c r="B1273" s="2">
        <v>10201</v>
      </c>
      <c r="C1273" s="2" t="s">
        <v>1219</v>
      </c>
    </row>
    <row r="1274" spans="1:3" x14ac:dyDescent="0.35">
      <c r="A1274" s="2" t="s">
        <v>375</v>
      </c>
      <c r="B1274" s="2">
        <v>10202</v>
      </c>
      <c r="C1274" s="2" t="s">
        <v>1220</v>
      </c>
    </row>
    <row r="1275" spans="1:3" x14ac:dyDescent="0.35">
      <c r="A1275" s="2" t="s">
        <v>375</v>
      </c>
      <c r="B1275" s="2">
        <v>10203</v>
      </c>
      <c r="C1275" s="2" t="s">
        <v>1221</v>
      </c>
    </row>
    <row r="1276" spans="1:3" x14ac:dyDescent="0.35">
      <c r="A1276" s="2" t="s">
        <v>375</v>
      </c>
      <c r="B1276" s="2">
        <v>10204</v>
      </c>
      <c r="C1276" s="2" t="s">
        <v>1222</v>
      </c>
    </row>
    <row r="1277" spans="1:3" x14ac:dyDescent="0.35">
      <c r="A1277" s="2" t="s">
        <v>375</v>
      </c>
      <c r="B1277" s="2">
        <v>10205</v>
      </c>
      <c r="C1277" s="2" t="s">
        <v>1223</v>
      </c>
    </row>
    <row r="1278" spans="1:3" x14ac:dyDescent="0.35">
      <c r="A1278" s="2" t="s">
        <v>375</v>
      </c>
      <c r="B1278" s="2">
        <v>10206</v>
      </c>
      <c r="C1278" s="2" t="s">
        <v>1224</v>
      </c>
    </row>
    <row r="1279" spans="1:3" x14ac:dyDescent="0.35">
      <c r="A1279" s="2" t="s">
        <v>375</v>
      </c>
      <c r="B1279" s="2">
        <v>10207</v>
      </c>
      <c r="C1279" s="2" t="s">
        <v>1225</v>
      </c>
    </row>
    <row r="1280" spans="1:3" x14ac:dyDescent="0.35">
      <c r="A1280" s="2" t="s">
        <v>375</v>
      </c>
      <c r="B1280" s="2">
        <v>10208</v>
      </c>
      <c r="C1280" s="2" t="s">
        <v>1226</v>
      </c>
    </row>
    <row r="1281" spans="1:3" x14ac:dyDescent="0.35">
      <c r="A1281" s="2" t="s">
        <v>375</v>
      </c>
      <c r="B1281" s="2">
        <v>10209</v>
      </c>
      <c r="C1281" s="2" t="s">
        <v>1227</v>
      </c>
    </row>
    <row r="1282" spans="1:3" x14ac:dyDescent="0.35">
      <c r="A1282" s="2" t="s">
        <v>375</v>
      </c>
      <c r="B1282" s="2">
        <v>10210</v>
      </c>
      <c r="C1282" s="2" t="s">
        <v>1228</v>
      </c>
    </row>
    <row r="1283" spans="1:3" x14ac:dyDescent="0.35">
      <c r="A1283" s="2" t="s">
        <v>375</v>
      </c>
      <c r="B1283" s="2">
        <v>10301</v>
      </c>
      <c r="C1283" s="2" t="s">
        <v>1229</v>
      </c>
    </row>
    <row r="1284" spans="1:3" x14ac:dyDescent="0.35">
      <c r="A1284" s="2" t="s">
        <v>375</v>
      </c>
      <c r="B1284" s="2">
        <v>10302</v>
      </c>
      <c r="C1284" s="2" t="s">
        <v>1230</v>
      </c>
    </row>
    <row r="1285" spans="1:3" x14ac:dyDescent="0.35">
      <c r="A1285" s="2" t="s">
        <v>375</v>
      </c>
      <c r="B1285" s="2">
        <v>10303</v>
      </c>
      <c r="C1285" s="2" t="s">
        <v>1231</v>
      </c>
    </row>
    <row r="1286" spans="1:3" x14ac:dyDescent="0.35">
      <c r="A1286" s="2" t="s">
        <v>375</v>
      </c>
      <c r="B1286" s="2">
        <v>10304</v>
      </c>
      <c r="C1286" s="2" t="s">
        <v>1232</v>
      </c>
    </row>
    <row r="1287" spans="1:3" x14ac:dyDescent="0.35">
      <c r="A1287" s="2" t="s">
        <v>375</v>
      </c>
      <c r="B1287" s="2">
        <v>10305</v>
      </c>
      <c r="C1287" s="2" t="s">
        <v>1233</v>
      </c>
    </row>
    <row r="1288" spans="1:3" x14ac:dyDescent="0.35">
      <c r="A1288" s="2" t="s">
        <v>375</v>
      </c>
      <c r="B1288" s="2">
        <v>10306</v>
      </c>
      <c r="C1288" s="2" t="s">
        <v>1234</v>
      </c>
    </row>
    <row r="1289" spans="1:3" x14ac:dyDescent="0.35">
      <c r="A1289" s="2" t="s">
        <v>375</v>
      </c>
      <c r="B1289" s="2">
        <v>10307</v>
      </c>
      <c r="C1289" s="2" t="s">
        <v>1235</v>
      </c>
    </row>
    <row r="1290" spans="1:3" x14ac:dyDescent="0.35">
      <c r="A1290" s="2" t="s">
        <v>375</v>
      </c>
      <c r="B1290" s="2">
        <v>10401</v>
      </c>
      <c r="C1290" s="2" t="s">
        <v>1236</v>
      </c>
    </row>
    <row r="1291" spans="1:3" x14ac:dyDescent="0.35">
      <c r="A1291" s="2" t="s">
        <v>375</v>
      </c>
      <c r="B1291" s="2">
        <v>10402</v>
      </c>
      <c r="C1291" s="2" t="s">
        <v>1237</v>
      </c>
    </row>
    <row r="1292" spans="1:3" x14ac:dyDescent="0.35">
      <c r="A1292" s="2" t="s">
        <v>375</v>
      </c>
      <c r="B1292" s="2">
        <v>10403</v>
      </c>
      <c r="C1292" s="2" t="s">
        <v>1238</v>
      </c>
    </row>
    <row r="1293" spans="1:3" x14ac:dyDescent="0.35">
      <c r="A1293" s="2" t="s">
        <v>375</v>
      </c>
      <c r="B1293" s="2">
        <v>10404</v>
      </c>
      <c r="C1293" s="2" t="s">
        <v>1239</v>
      </c>
    </row>
    <row r="1294" spans="1:3" x14ac:dyDescent="0.35">
      <c r="A1294" s="2" t="s">
        <v>375</v>
      </c>
      <c r="B1294" s="2">
        <v>11101</v>
      </c>
      <c r="C1294" s="2" t="s">
        <v>1240</v>
      </c>
    </row>
    <row r="1295" spans="1:3" x14ac:dyDescent="0.35">
      <c r="A1295" s="2" t="s">
        <v>375</v>
      </c>
      <c r="B1295" s="2">
        <v>11102</v>
      </c>
      <c r="C1295" s="2" t="s">
        <v>1241</v>
      </c>
    </row>
    <row r="1296" spans="1:3" x14ac:dyDescent="0.35">
      <c r="A1296" s="2" t="s">
        <v>375</v>
      </c>
      <c r="B1296" s="2">
        <v>11201</v>
      </c>
      <c r="C1296" s="2" t="s">
        <v>1242</v>
      </c>
    </row>
    <row r="1297" spans="1:3" x14ac:dyDescent="0.35">
      <c r="A1297" s="2" t="s">
        <v>375</v>
      </c>
      <c r="B1297" s="2">
        <v>11202</v>
      </c>
      <c r="C1297" s="2" t="s">
        <v>1243</v>
      </c>
    </row>
    <row r="1298" spans="1:3" x14ac:dyDescent="0.35">
      <c r="A1298" s="2" t="s">
        <v>375</v>
      </c>
      <c r="B1298" s="2">
        <v>11203</v>
      </c>
      <c r="C1298" s="2" t="s">
        <v>1244</v>
      </c>
    </row>
    <row r="1299" spans="1:3" x14ac:dyDescent="0.35">
      <c r="A1299" s="2" t="s">
        <v>375</v>
      </c>
      <c r="B1299" s="2">
        <v>11301</v>
      </c>
      <c r="C1299" s="2" t="s">
        <v>1245</v>
      </c>
    </row>
    <row r="1300" spans="1:3" x14ac:dyDescent="0.35">
      <c r="A1300" s="2" t="s">
        <v>375</v>
      </c>
      <c r="B1300" s="2">
        <v>11302</v>
      </c>
      <c r="C1300" s="2" t="s">
        <v>1246</v>
      </c>
    </row>
    <row r="1301" spans="1:3" x14ac:dyDescent="0.35">
      <c r="A1301" s="2" t="s">
        <v>375</v>
      </c>
      <c r="B1301" s="2">
        <v>11303</v>
      </c>
      <c r="C1301" s="2" t="s">
        <v>1247</v>
      </c>
    </row>
    <row r="1302" spans="1:3" x14ac:dyDescent="0.35">
      <c r="A1302" s="2" t="s">
        <v>375</v>
      </c>
      <c r="B1302" s="2">
        <v>11401</v>
      </c>
      <c r="C1302" s="2" t="s">
        <v>1248</v>
      </c>
    </row>
    <row r="1303" spans="1:3" x14ac:dyDescent="0.35">
      <c r="A1303" s="2" t="s">
        <v>375</v>
      </c>
      <c r="B1303" s="2">
        <v>11402</v>
      </c>
      <c r="C1303" s="2" t="s">
        <v>1249</v>
      </c>
    </row>
    <row r="1304" spans="1:3" x14ac:dyDescent="0.35">
      <c r="A1304" s="2" t="s">
        <v>375</v>
      </c>
      <c r="B1304" s="2">
        <v>12101</v>
      </c>
      <c r="C1304" s="2" t="s">
        <v>1250</v>
      </c>
    </row>
    <row r="1305" spans="1:3" x14ac:dyDescent="0.35">
      <c r="A1305" s="2" t="s">
        <v>375</v>
      </c>
      <c r="B1305" s="2">
        <v>12102</v>
      </c>
      <c r="C1305" s="2" t="s">
        <v>1251</v>
      </c>
    </row>
    <row r="1306" spans="1:3" x14ac:dyDescent="0.35">
      <c r="A1306" s="2" t="s">
        <v>375</v>
      </c>
      <c r="B1306" s="2">
        <v>12103</v>
      </c>
      <c r="C1306" s="2" t="s">
        <v>1252</v>
      </c>
    </row>
    <row r="1307" spans="1:3" x14ac:dyDescent="0.35">
      <c r="A1307" s="2" t="s">
        <v>375</v>
      </c>
      <c r="B1307" s="2">
        <v>12104</v>
      </c>
      <c r="C1307" s="2" t="s">
        <v>1253</v>
      </c>
    </row>
    <row r="1308" spans="1:3" x14ac:dyDescent="0.35">
      <c r="A1308" s="2" t="s">
        <v>375</v>
      </c>
      <c r="B1308" s="2">
        <v>12201</v>
      </c>
      <c r="C1308" s="2" t="s">
        <v>1254</v>
      </c>
    </row>
    <row r="1309" spans="1:3" x14ac:dyDescent="0.35">
      <c r="A1309" s="2" t="s">
        <v>375</v>
      </c>
      <c r="B1309" s="2">
        <v>12202</v>
      </c>
      <c r="C1309" s="2" t="s">
        <v>1255</v>
      </c>
    </row>
    <row r="1310" spans="1:3" x14ac:dyDescent="0.35">
      <c r="A1310" s="2" t="s">
        <v>375</v>
      </c>
      <c r="B1310" s="2">
        <v>12301</v>
      </c>
      <c r="C1310" s="2" t="s">
        <v>1256</v>
      </c>
    </row>
    <row r="1311" spans="1:3" x14ac:dyDescent="0.35">
      <c r="A1311" s="2" t="s">
        <v>375</v>
      </c>
      <c r="B1311" s="2">
        <v>12302</v>
      </c>
      <c r="C1311" s="2" t="s">
        <v>1257</v>
      </c>
    </row>
    <row r="1312" spans="1:3" x14ac:dyDescent="0.35">
      <c r="A1312" s="2" t="s">
        <v>375</v>
      </c>
      <c r="B1312" s="2">
        <v>12303</v>
      </c>
      <c r="C1312" s="2" t="s">
        <v>1258</v>
      </c>
    </row>
    <row r="1313" spans="1:3" x14ac:dyDescent="0.35">
      <c r="A1313" s="2" t="s">
        <v>375</v>
      </c>
      <c r="B1313" s="2">
        <v>12401</v>
      </c>
      <c r="C1313" s="2" t="s">
        <v>1259</v>
      </c>
    </row>
    <row r="1314" spans="1:3" x14ac:dyDescent="0.35">
      <c r="A1314" s="2" t="s">
        <v>375</v>
      </c>
      <c r="B1314" s="2">
        <v>12402</v>
      </c>
      <c r="C1314" s="2" t="s">
        <v>1260</v>
      </c>
    </row>
    <row r="1315" spans="1:3" x14ac:dyDescent="0.35">
      <c r="A1315" s="2" t="s">
        <v>375</v>
      </c>
      <c r="B1315" s="2">
        <v>13101</v>
      </c>
      <c r="C1315" s="2" t="s">
        <v>1261</v>
      </c>
    </row>
    <row r="1316" spans="1:3" x14ac:dyDescent="0.35">
      <c r="A1316" s="2" t="s">
        <v>375</v>
      </c>
      <c r="B1316" s="2">
        <v>13102</v>
      </c>
      <c r="C1316" s="2" t="s">
        <v>1262</v>
      </c>
    </row>
    <row r="1317" spans="1:3" x14ac:dyDescent="0.35">
      <c r="A1317" s="2" t="s">
        <v>375</v>
      </c>
      <c r="B1317" s="2">
        <v>13103</v>
      </c>
      <c r="C1317" s="2" t="s">
        <v>1263</v>
      </c>
    </row>
    <row r="1318" spans="1:3" x14ac:dyDescent="0.35">
      <c r="A1318" s="2" t="s">
        <v>375</v>
      </c>
      <c r="B1318" s="2">
        <v>13104</v>
      </c>
      <c r="C1318" s="2" t="s">
        <v>1264</v>
      </c>
    </row>
    <row r="1319" spans="1:3" x14ac:dyDescent="0.35">
      <c r="A1319" s="2" t="s">
        <v>375</v>
      </c>
      <c r="B1319" s="2">
        <v>13105</v>
      </c>
      <c r="C1319" s="2" t="s">
        <v>1265</v>
      </c>
    </row>
    <row r="1320" spans="1:3" x14ac:dyDescent="0.35">
      <c r="A1320" s="2" t="s">
        <v>375</v>
      </c>
      <c r="B1320" s="2">
        <v>13106</v>
      </c>
      <c r="C1320" s="2" t="s">
        <v>1266</v>
      </c>
    </row>
    <row r="1321" spans="1:3" x14ac:dyDescent="0.35">
      <c r="A1321" s="2" t="s">
        <v>375</v>
      </c>
      <c r="B1321" s="2">
        <v>13107</v>
      </c>
      <c r="C1321" s="2" t="s">
        <v>1267</v>
      </c>
    </row>
    <row r="1322" spans="1:3" x14ac:dyDescent="0.35">
      <c r="A1322" s="2" t="s">
        <v>375</v>
      </c>
      <c r="B1322" s="2">
        <v>13108</v>
      </c>
      <c r="C1322" s="2" t="s">
        <v>1268</v>
      </c>
    </row>
    <row r="1323" spans="1:3" x14ac:dyDescent="0.35">
      <c r="A1323" s="2" t="s">
        <v>375</v>
      </c>
      <c r="B1323" s="2">
        <v>13109</v>
      </c>
      <c r="C1323" s="2" t="s">
        <v>1269</v>
      </c>
    </row>
    <row r="1324" spans="1:3" x14ac:dyDescent="0.35">
      <c r="A1324" s="2" t="s">
        <v>375</v>
      </c>
      <c r="B1324" s="2">
        <v>13110</v>
      </c>
      <c r="C1324" s="2" t="s">
        <v>1270</v>
      </c>
    </row>
    <row r="1325" spans="1:3" x14ac:dyDescent="0.35">
      <c r="A1325" s="2" t="s">
        <v>375</v>
      </c>
      <c r="B1325" s="2">
        <v>13111</v>
      </c>
      <c r="C1325" s="2" t="s">
        <v>1271</v>
      </c>
    </row>
    <row r="1326" spans="1:3" x14ac:dyDescent="0.35">
      <c r="A1326" s="2" t="s">
        <v>375</v>
      </c>
      <c r="B1326" s="2">
        <v>13112</v>
      </c>
      <c r="C1326" s="2" t="s">
        <v>1272</v>
      </c>
    </row>
    <row r="1327" spans="1:3" x14ac:dyDescent="0.35">
      <c r="A1327" s="2" t="s">
        <v>375</v>
      </c>
      <c r="B1327" s="2">
        <v>13113</v>
      </c>
      <c r="C1327" s="2" t="s">
        <v>1273</v>
      </c>
    </row>
    <row r="1328" spans="1:3" x14ac:dyDescent="0.35">
      <c r="A1328" s="2" t="s">
        <v>375</v>
      </c>
      <c r="B1328" s="2">
        <v>13114</v>
      </c>
      <c r="C1328" s="2" t="s">
        <v>1274</v>
      </c>
    </row>
    <row r="1329" spans="1:3" x14ac:dyDescent="0.35">
      <c r="A1329" s="2" t="s">
        <v>375</v>
      </c>
      <c r="B1329" s="2">
        <v>13115</v>
      </c>
      <c r="C1329" s="2" t="s">
        <v>1275</v>
      </c>
    </row>
    <row r="1330" spans="1:3" x14ac:dyDescent="0.35">
      <c r="A1330" s="2" t="s">
        <v>375</v>
      </c>
      <c r="B1330" s="2">
        <v>13116</v>
      </c>
      <c r="C1330" s="2" t="s">
        <v>1276</v>
      </c>
    </row>
    <row r="1331" spans="1:3" x14ac:dyDescent="0.35">
      <c r="A1331" s="2" t="s">
        <v>375</v>
      </c>
      <c r="B1331" s="2">
        <v>13117</v>
      </c>
      <c r="C1331" s="2" t="s">
        <v>1277</v>
      </c>
    </row>
    <row r="1332" spans="1:3" x14ac:dyDescent="0.35">
      <c r="A1332" s="2" t="s">
        <v>375</v>
      </c>
      <c r="B1332" s="2">
        <v>13118</v>
      </c>
      <c r="C1332" s="2" t="s">
        <v>1278</v>
      </c>
    </row>
    <row r="1333" spans="1:3" x14ac:dyDescent="0.35">
      <c r="A1333" s="2" t="s">
        <v>375</v>
      </c>
      <c r="B1333" s="2">
        <v>13119</v>
      </c>
      <c r="C1333" s="2" t="s">
        <v>1279</v>
      </c>
    </row>
    <row r="1334" spans="1:3" x14ac:dyDescent="0.35">
      <c r="A1334" s="2" t="s">
        <v>375</v>
      </c>
      <c r="B1334" s="2">
        <v>13121</v>
      </c>
      <c r="C1334" s="2" t="s">
        <v>1280</v>
      </c>
    </row>
    <row r="1335" spans="1:3" x14ac:dyDescent="0.35">
      <c r="A1335" s="2" t="s">
        <v>375</v>
      </c>
      <c r="B1335" s="2">
        <v>13122</v>
      </c>
      <c r="C1335" s="2" t="s">
        <v>1281</v>
      </c>
    </row>
    <row r="1336" spans="1:3" x14ac:dyDescent="0.35">
      <c r="A1336" s="2" t="s">
        <v>375</v>
      </c>
      <c r="B1336" s="2">
        <v>13123</v>
      </c>
      <c r="C1336" s="2" t="s">
        <v>1282</v>
      </c>
    </row>
    <row r="1337" spans="1:3" x14ac:dyDescent="0.35">
      <c r="A1337" s="2" t="s">
        <v>375</v>
      </c>
      <c r="B1337" s="2">
        <v>13124</v>
      </c>
      <c r="C1337" s="2" t="s">
        <v>1283</v>
      </c>
    </row>
    <row r="1338" spans="1:3" x14ac:dyDescent="0.35">
      <c r="A1338" s="2" t="s">
        <v>375</v>
      </c>
      <c r="B1338" s="2">
        <v>13125</v>
      </c>
      <c r="C1338" s="2" t="s">
        <v>1284</v>
      </c>
    </row>
    <row r="1339" spans="1:3" x14ac:dyDescent="0.35">
      <c r="A1339" s="2" t="s">
        <v>375</v>
      </c>
      <c r="B1339" s="2">
        <v>13126</v>
      </c>
      <c r="C1339" s="2" t="s">
        <v>1285</v>
      </c>
    </row>
    <row r="1340" spans="1:3" x14ac:dyDescent="0.35">
      <c r="A1340" s="2" t="s">
        <v>375</v>
      </c>
      <c r="B1340" s="2">
        <v>13127</v>
      </c>
      <c r="C1340" s="2" t="s">
        <v>1286</v>
      </c>
    </row>
    <row r="1341" spans="1:3" x14ac:dyDescent="0.35">
      <c r="A1341" s="2" t="s">
        <v>375</v>
      </c>
      <c r="B1341" s="2">
        <v>13128</v>
      </c>
      <c r="C1341" s="2" t="s">
        <v>1287</v>
      </c>
    </row>
    <row r="1342" spans="1:3" x14ac:dyDescent="0.35">
      <c r="A1342" s="2" t="s">
        <v>375</v>
      </c>
      <c r="B1342" s="2">
        <v>13129</v>
      </c>
      <c r="C1342" s="2" t="s">
        <v>1288</v>
      </c>
    </row>
    <row r="1343" spans="1:3" x14ac:dyDescent="0.35">
      <c r="A1343" s="2" t="s">
        <v>375</v>
      </c>
      <c r="B1343" s="2">
        <v>13130</v>
      </c>
      <c r="C1343" s="2" t="s">
        <v>1289</v>
      </c>
    </row>
    <row r="1344" spans="1:3" x14ac:dyDescent="0.35">
      <c r="A1344" s="2" t="s">
        <v>375</v>
      </c>
      <c r="B1344" s="2">
        <v>13131</v>
      </c>
      <c r="C1344" s="2" t="s">
        <v>1290</v>
      </c>
    </row>
    <row r="1345" spans="1:3" x14ac:dyDescent="0.35">
      <c r="A1345" s="2" t="s">
        <v>375</v>
      </c>
      <c r="B1345" s="2">
        <v>13132</v>
      </c>
      <c r="C1345" s="2" t="s">
        <v>1291</v>
      </c>
    </row>
    <row r="1346" spans="1:3" x14ac:dyDescent="0.35">
      <c r="A1346" s="2" t="s">
        <v>375</v>
      </c>
      <c r="B1346" s="2">
        <v>13201</v>
      </c>
      <c r="C1346" s="2" t="s">
        <v>1292</v>
      </c>
    </row>
    <row r="1347" spans="1:3" x14ac:dyDescent="0.35">
      <c r="A1347" s="2" t="s">
        <v>375</v>
      </c>
      <c r="B1347" s="2">
        <v>13202</v>
      </c>
      <c r="C1347" s="2" t="s">
        <v>1293</v>
      </c>
    </row>
    <row r="1348" spans="1:3" x14ac:dyDescent="0.35">
      <c r="A1348" s="2" t="s">
        <v>375</v>
      </c>
      <c r="B1348" s="2">
        <v>13203</v>
      </c>
      <c r="C1348" s="2" t="s">
        <v>1294</v>
      </c>
    </row>
    <row r="1349" spans="1:3" x14ac:dyDescent="0.35">
      <c r="A1349" s="2" t="s">
        <v>375</v>
      </c>
      <c r="B1349" s="2">
        <v>13301</v>
      </c>
      <c r="C1349" s="2" t="s">
        <v>1295</v>
      </c>
    </row>
    <row r="1350" spans="1:3" x14ac:dyDescent="0.35">
      <c r="A1350" s="2" t="s">
        <v>375</v>
      </c>
      <c r="B1350" s="2">
        <v>13302</v>
      </c>
      <c r="C1350" s="2" t="s">
        <v>1296</v>
      </c>
    </row>
    <row r="1351" spans="1:3" x14ac:dyDescent="0.35">
      <c r="A1351" s="2" t="s">
        <v>375</v>
      </c>
      <c r="B1351" s="2">
        <v>13303</v>
      </c>
      <c r="C1351" s="2" t="s">
        <v>1297</v>
      </c>
    </row>
    <row r="1352" spans="1:3" x14ac:dyDescent="0.35">
      <c r="A1352" s="2" t="s">
        <v>375</v>
      </c>
      <c r="B1352" s="2">
        <v>13401</v>
      </c>
      <c r="C1352" s="2" t="s">
        <v>1298</v>
      </c>
    </row>
    <row r="1353" spans="1:3" x14ac:dyDescent="0.35">
      <c r="A1353" s="2" t="s">
        <v>375</v>
      </c>
      <c r="B1353" s="2">
        <v>13402</v>
      </c>
      <c r="C1353" s="2" t="s">
        <v>1299</v>
      </c>
    </row>
    <row r="1354" spans="1:3" x14ac:dyDescent="0.35">
      <c r="A1354" s="2" t="s">
        <v>375</v>
      </c>
      <c r="B1354" s="2">
        <v>13403</v>
      </c>
      <c r="C1354" s="2" t="s">
        <v>1300</v>
      </c>
    </row>
    <row r="1355" spans="1:3" x14ac:dyDescent="0.35">
      <c r="A1355" s="2" t="s">
        <v>375</v>
      </c>
      <c r="B1355" s="2">
        <v>13404</v>
      </c>
      <c r="C1355" s="2" t="s">
        <v>1301</v>
      </c>
    </row>
    <row r="1356" spans="1:3" x14ac:dyDescent="0.35">
      <c r="A1356" s="2" t="s">
        <v>375</v>
      </c>
      <c r="B1356" s="2">
        <v>13501</v>
      </c>
      <c r="C1356" s="2" t="s">
        <v>1302</v>
      </c>
    </row>
    <row r="1357" spans="1:3" x14ac:dyDescent="0.35">
      <c r="A1357" s="2" t="s">
        <v>375</v>
      </c>
      <c r="B1357" s="2">
        <v>13502</v>
      </c>
      <c r="C1357" s="2" t="s">
        <v>1303</v>
      </c>
    </row>
    <row r="1358" spans="1:3" x14ac:dyDescent="0.35">
      <c r="A1358" s="2" t="s">
        <v>375</v>
      </c>
      <c r="B1358" s="2">
        <v>13503</v>
      </c>
      <c r="C1358" s="2" t="s">
        <v>1304</v>
      </c>
    </row>
    <row r="1359" spans="1:3" x14ac:dyDescent="0.35">
      <c r="A1359" s="2" t="s">
        <v>375</v>
      </c>
      <c r="B1359" s="2">
        <v>13504</v>
      </c>
      <c r="C1359" s="2" t="s">
        <v>1305</v>
      </c>
    </row>
    <row r="1360" spans="1:3" x14ac:dyDescent="0.35">
      <c r="A1360" s="2" t="s">
        <v>375</v>
      </c>
      <c r="B1360" s="2">
        <v>13505</v>
      </c>
      <c r="C1360" s="2" t="s">
        <v>1306</v>
      </c>
    </row>
    <row r="1361" spans="1:3" x14ac:dyDescent="0.35">
      <c r="A1361" s="2" t="s">
        <v>375</v>
      </c>
      <c r="B1361" s="2">
        <v>13601</v>
      </c>
      <c r="C1361" s="2" t="s">
        <v>1307</v>
      </c>
    </row>
    <row r="1362" spans="1:3" x14ac:dyDescent="0.35">
      <c r="A1362" s="2" t="s">
        <v>375</v>
      </c>
      <c r="B1362" s="2">
        <v>13602</v>
      </c>
      <c r="C1362" s="2" t="s">
        <v>1308</v>
      </c>
    </row>
    <row r="1363" spans="1:3" x14ac:dyDescent="0.35">
      <c r="A1363" s="2" t="s">
        <v>375</v>
      </c>
      <c r="B1363" s="2">
        <v>13603</v>
      </c>
      <c r="C1363" s="2" t="s">
        <v>1309</v>
      </c>
    </row>
    <row r="1364" spans="1:3" x14ac:dyDescent="0.35">
      <c r="A1364" s="2" t="s">
        <v>375</v>
      </c>
      <c r="B1364" s="2">
        <v>13604</v>
      </c>
      <c r="C1364" s="2" t="s">
        <v>1310</v>
      </c>
    </row>
    <row r="1365" spans="1:3" x14ac:dyDescent="0.35">
      <c r="A1365" s="2" t="s">
        <v>375</v>
      </c>
      <c r="B1365" s="2">
        <v>13605</v>
      </c>
      <c r="C1365" s="2" t="s">
        <v>1311</v>
      </c>
    </row>
    <row r="1366" spans="1:3" x14ac:dyDescent="0.35">
      <c r="A1366" s="2" t="s">
        <v>375</v>
      </c>
      <c r="B1366" s="2">
        <v>14101</v>
      </c>
      <c r="C1366" s="2" t="s">
        <v>1312</v>
      </c>
    </row>
    <row r="1367" spans="1:3" x14ac:dyDescent="0.35">
      <c r="A1367" s="2" t="s">
        <v>375</v>
      </c>
      <c r="B1367" s="2">
        <v>14102</v>
      </c>
      <c r="C1367" s="2" t="s">
        <v>1313</v>
      </c>
    </row>
    <row r="1368" spans="1:3" x14ac:dyDescent="0.35">
      <c r="A1368" s="2" t="s">
        <v>375</v>
      </c>
      <c r="B1368" s="2">
        <v>14103</v>
      </c>
      <c r="C1368" s="2" t="s">
        <v>1314</v>
      </c>
    </row>
    <row r="1369" spans="1:3" x14ac:dyDescent="0.35">
      <c r="A1369" s="2" t="s">
        <v>375</v>
      </c>
      <c r="B1369" s="2">
        <v>14104</v>
      </c>
      <c r="C1369" s="2" t="s">
        <v>1315</v>
      </c>
    </row>
    <row r="1370" spans="1:3" x14ac:dyDescent="0.35">
      <c r="A1370" s="2" t="s">
        <v>375</v>
      </c>
      <c r="B1370" s="2">
        <v>14105</v>
      </c>
      <c r="C1370" s="2" t="s">
        <v>1316</v>
      </c>
    </row>
    <row r="1371" spans="1:3" x14ac:dyDescent="0.35">
      <c r="A1371" s="2" t="s">
        <v>375</v>
      </c>
      <c r="B1371" s="2">
        <v>14106</v>
      </c>
      <c r="C1371" s="2" t="s">
        <v>1317</v>
      </c>
    </row>
    <row r="1372" spans="1:3" x14ac:dyDescent="0.35">
      <c r="A1372" s="2" t="s">
        <v>375</v>
      </c>
      <c r="B1372" s="2">
        <v>14107</v>
      </c>
      <c r="C1372" s="2" t="s">
        <v>1318</v>
      </c>
    </row>
    <row r="1373" spans="1:3" x14ac:dyDescent="0.35">
      <c r="A1373" s="2" t="s">
        <v>375</v>
      </c>
      <c r="B1373" s="2">
        <v>14108</v>
      </c>
      <c r="C1373" s="2" t="s">
        <v>1319</v>
      </c>
    </row>
    <row r="1374" spans="1:3" x14ac:dyDescent="0.35">
      <c r="A1374" s="2" t="s">
        <v>375</v>
      </c>
      <c r="B1374" s="2">
        <v>14201</v>
      </c>
      <c r="C1374" s="2" t="s">
        <v>1320</v>
      </c>
    </row>
    <row r="1375" spans="1:3" x14ac:dyDescent="0.35">
      <c r="A1375" s="2" t="s">
        <v>375</v>
      </c>
      <c r="B1375" s="2">
        <v>14202</v>
      </c>
      <c r="C1375" s="2" t="s">
        <v>1321</v>
      </c>
    </row>
    <row r="1376" spans="1:3" x14ac:dyDescent="0.35">
      <c r="A1376" s="2" t="s">
        <v>375</v>
      </c>
      <c r="B1376" s="2">
        <v>14203</v>
      </c>
      <c r="C1376" s="2" t="s">
        <v>1322</v>
      </c>
    </row>
    <row r="1377" spans="1:3" x14ac:dyDescent="0.35">
      <c r="A1377" s="2" t="s">
        <v>375</v>
      </c>
      <c r="B1377" s="2">
        <v>14204</v>
      </c>
      <c r="C1377" s="2" t="s">
        <v>1323</v>
      </c>
    </row>
    <row r="1378" spans="1:3" x14ac:dyDescent="0.35">
      <c r="A1378" s="2" t="s">
        <v>375</v>
      </c>
      <c r="B1378" s="2">
        <v>15101</v>
      </c>
      <c r="C1378" s="2" t="s">
        <v>1324</v>
      </c>
    </row>
    <row r="1379" spans="1:3" x14ac:dyDescent="0.35">
      <c r="A1379" s="2" t="s">
        <v>375</v>
      </c>
      <c r="B1379" s="2">
        <v>15102</v>
      </c>
      <c r="C1379" s="2" t="s">
        <v>1325</v>
      </c>
    </row>
    <row r="1380" spans="1:3" x14ac:dyDescent="0.35">
      <c r="A1380" s="2" t="s">
        <v>375</v>
      </c>
      <c r="B1380" s="2">
        <v>15201</v>
      </c>
      <c r="C1380" s="2" t="s">
        <v>1326</v>
      </c>
    </row>
    <row r="1381" spans="1:3" x14ac:dyDescent="0.35">
      <c r="A1381" s="2" t="s">
        <v>375</v>
      </c>
      <c r="B1381" s="2">
        <v>15202</v>
      </c>
      <c r="C1381" s="2" t="s">
        <v>1327</v>
      </c>
    </row>
  </sheetData>
  <pageMargins left="0.7" right="0.7" top="0.75" bottom="0.75" header="0.3" footer="0.3"/>
  <headerFooter>
    <oddFooter>&amp;L_x000D_&amp;1#&amp;"Aptos"&amp;14&amp;K000000 Información Interna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9D395-881B-8E41-A445-6521697ED9B3}">
  <sheetPr codeName="Sheet6">
    <tabColor theme="4" tint="0.59999389629810485"/>
  </sheetPr>
  <dimension ref="A1:S346"/>
  <sheetViews>
    <sheetView topLeftCell="A49" workbookViewId="0">
      <selection activeCell="B3" sqref="B3"/>
    </sheetView>
  </sheetViews>
  <sheetFormatPr baseColWidth="10" defaultColWidth="11.453125" defaultRowHeight="14.5" x14ac:dyDescent="0.35"/>
  <cols>
    <col min="1" max="1" width="48.36328125" bestFit="1" customWidth="1"/>
    <col min="3" max="3" width="9" bestFit="1" customWidth="1"/>
    <col min="5" max="5" width="9" bestFit="1" customWidth="1"/>
    <col min="7" max="7" width="9" bestFit="1" customWidth="1"/>
    <col min="9" max="9" width="9" bestFit="1" customWidth="1"/>
    <col min="11" max="11" width="9.6328125" bestFit="1" customWidth="1"/>
    <col min="13" max="13" width="14.1796875" bestFit="1" customWidth="1"/>
    <col min="15" max="15" width="15.1796875" bestFit="1" customWidth="1"/>
  </cols>
  <sheetData>
    <row r="1" spans="1:19" x14ac:dyDescent="0.35">
      <c r="A1" s="11" t="s">
        <v>1429</v>
      </c>
      <c r="C1" s="11" t="s">
        <v>430</v>
      </c>
      <c r="E1" s="11" t="s">
        <v>432</v>
      </c>
      <c r="G1" s="11" t="s">
        <v>434</v>
      </c>
      <c r="I1" s="11" t="s">
        <v>436</v>
      </c>
      <c r="K1" s="11" t="s">
        <v>438</v>
      </c>
      <c r="M1" s="11" t="s">
        <v>981</v>
      </c>
      <c r="O1" s="11" t="s">
        <v>1360</v>
      </c>
      <c r="Q1" s="11" t="s">
        <v>1478</v>
      </c>
      <c r="S1" s="11" t="s">
        <v>1508</v>
      </c>
    </row>
    <row r="2" spans="1:19" x14ac:dyDescent="0.35">
      <c r="A2" t="str" cm="1">
        <f t="array" ref="A2:A181">IFERROR(_xlfn._xlws.FILTER(Clase!$C$2:$C$292, Clase!$A$2:$A$292=Formato!$C$14, ""), "")</f>
        <v>Terrenos Rurales</v>
      </c>
      <c r="C2" cm="1">
        <f t="array" ref="C2:C30">IFERROR(_xlfn._xlws.FILTER('Criterio '!$B$2:$B$108,'Criterio '!$A$2:$A$108=Formato!$C$14,""),"")</f>
        <v>0</v>
      </c>
      <c r="E2" cm="1">
        <f t="array" ref="E2:E30">IFERROR(_xlfn._xlws.FILTER('Criterio '!$D$2:$D$108,'Criterio '!$A$2:$A$108=Formato!$C$14,""),"")</f>
        <v>0</v>
      </c>
      <c r="G2" t="str" cm="1">
        <f t="array" ref="G2:G30">IFERROR(_xlfn._xlws.FILTER('Criterio '!$F$2:$F$108,'Criterio '!$A$2:$A$108=Formato!$C$14,""),"")</f>
        <v xml:space="preserve">IC01 </v>
      </c>
      <c r="I2" cm="1">
        <f t="array" ref="I2:I30">IFERROR(_xlfn._xlws.FILTER('Criterio '!$H$2:$H$108,'Criterio '!$A$2:$A$108=Formato!$C$14,""),"")</f>
        <v>0</v>
      </c>
      <c r="K2" t="str" cm="1">
        <f t="array" ref="K2:K30">IFERROR(_xlfn._xlws.FILTER('Criterio '!$J$2:$J$108,'Criterio '!$A$2:$A$108=Formato!$C$14,""),"")</f>
        <v xml:space="preserve">ICA10000 </v>
      </c>
      <c r="M2" cm="1">
        <f t="array" ref="M2:M346">IFERROR(_xlfn._xlws.FILTER(Emplazamiento!$B$2:$B$1381,Emplazamiento!$A$2:$A$1381=Formato!$C$14,""),"")</f>
        <v>1101</v>
      </c>
      <c r="O2" cm="1">
        <f t="array" ref="O2:O226">IFERROR(_xlfn._xlws.FILTER(Ceco!$B$2:$B$901,Ceco!$A$2:$A$901=Formato!$C$14,""),"")</f>
        <v>10000</v>
      </c>
      <c r="Q2" t="str" cm="1">
        <f t="array" ref="Q2:Q4">IFERROR(_xlfn.UNIQUE(_xlfn._xlws.FILTER(Sociedades!$B$2:$B$10,Sociedades!$B$2:$B$10&lt;&gt;"")),"")</f>
        <v>Colombia</v>
      </c>
      <c r="S2" t="s">
        <v>1469</v>
      </c>
    </row>
    <row r="3" spans="1:19" x14ac:dyDescent="0.35">
      <c r="A3" t="str">
        <v>Terrenos Urbanos</v>
      </c>
      <c r="C3">
        <v>0</v>
      </c>
      <c r="E3">
        <v>0</v>
      </c>
      <c r="G3" t="str">
        <v xml:space="preserve">IC02 </v>
      </c>
      <c r="I3">
        <v>0</v>
      </c>
      <c r="K3" t="str">
        <v xml:space="preserve">ICO10000 </v>
      </c>
      <c r="M3">
        <v>1107</v>
      </c>
      <c r="O3">
        <v>10001</v>
      </c>
      <c r="Q3" t="str">
        <v>Chile</v>
      </c>
      <c r="S3" t="s">
        <v>1471</v>
      </c>
    </row>
    <row r="4" spans="1:19" x14ac:dyDescent="0.35">
      <c r="A4" t="str">
        <v>Terrenos Urbanos 2</v>
      </c>
      <c r="C4">
        <v>0</v>
      </c>
      <c r="E4">
        <v>0</v>
      </c>
      <c r="G4" t="str">
        <v xml:space="preserve">IC03 </v>
      </c>
      <c r="I4">
        <v>0</v>
      </c>
      <c r="K4" t="str">
        <v xml:space="preserve">ICO20000 </v>
      </c>
      <c r="M4">
        <v>1401</v>
      </c>
      <c r="O4">
        <v>10002</v>
      </c>
      <c r="Q4" t="str">
        <v>Perú</v>
      </c>
    </row>
    <row r="5" spans="1:19" x14ac:dyDescent="0.35">
      <c r="A5" t="str">
        <v>Terrenos no explotados - Prop.Inversión</v>
      </c>
      <c r="C5">
        <v>0</v>
      </c>
      <c r="E5">
        <v>0</v>
      </c>
      <c r="G5" t="str">
        <v xml:space="preserve">IC04 </v>
      </c>
      <c r="I5">
        <v>0</v>
      </c>
      <c r="K5" t="str">
        <v xml:space="preserve">P001L001 </v>
      </c>
      <c r="M5">
        <v>1402</v>
      </c>
      <c r="O5">
        <v>10003</v>
      </c>
    </row>
    <row r="6" spans="1:19" x14ac:dyDescent="0.35">
      <c r="A6" t="str">
        <v>Terrenos Urbanos</v>
      </c>
      <c r="C6">
        <v>0</v>
      </c>
      <c r="E6">
        <v>0</v>
      </c>
      <c r="G6" t="str">
        <v xml:space="preserve">IC05 </v>
      </c>
      <c r="I6">
        <v>0</v>
      </c>
      <c r="K6" t="str">
        <v xml:space="preserve">P001L002 </v>
      </c>
      <c r="M6">
        <v>1403</v>
      </c>
      <c r="O6">
        <v>10004</v>
      </c>
    </row>
    <row r="7" spans="1:19" x14ac:dyDescent="0.35">
      <c r="A7" t="str">
        <v>Terrenos Rurales</v>
      </c>
      <c r="C7">
        <v>0</v>
      </c>
      <c r="E7">
        <v>0</v>
      </c>
      <c r="G7" t="str">
        <v xml:space="preserve">IC06 </v>
      </c>
      <c r="I7">
        <v>0</v>
      </c>
      <c r="K7" t="str">
        <v xml:space="preserve">P001L003 </v>
      </c>
      <c r="M7">
        <v>1404</v>
      </c>
      <c r="O7">
        <v>10005</v>
      </c>
    </row>
    <row r="8" spans="1:19" x14ac:dyDescent="0.35">
      <c r="A8" t="str">
        <v>Terrenos no explotados - Prop.Inversión</v>
      </c>
      <c r="C8">
        <v>0</v>
      </c>
      <c r="E8">
        <v>0</v>
      </c>
      <c r="G8" t="str">
        <v xml:space="preserve">IC07 </v>
      </c>
      <c r="I8">
        <v>0</v>
      </c>
      <c r="K8" t="str">
        <v xml:space="preserve">P001S001 </v>
      </c>
      <c r="M8">
        <v>1405</v>
      </c>
      <c r="O8">
        <v>10006</v>
      </c>
    </row>
    <row r="9" spans="1:19" x14ac:dyDescent="0.35">
      <c r="A9" t="str">
        <v>Terrenos Urbanos Leasing</v>
      </c>
      <c r="C9">
        <v>0</v>
      </c>
      <c r="E9">
        <v>0</v>
      </c>
      <c r="G9" t="str">
        <v xml:space="preserve">IC08 </v>
      </c>
      <c r="I9">
        <v>0</v>
      </c>
      <c r="K9" t="str">
        <v xml:space="preserve">P001S002 </v>
      </c>
      <c r="M9">
        <v>2101</v>
      </c>
      <c r="O9">
        <v>10007</v>
      </c>
    </row>
    <row r="10" spans="1:19" x14ac:dyDescent="0.35">
      <c r="A10" t="str">
        <v>Redes, Lineas y Cables (Costos Directos)</v>
      </c>
      <c r="C10">
        <v>0</v>
      </c>
      <c r="E10">
        <v>0</v>
      </c>
      <c r="G10" t="str">
        <v xml:space="preserve">IC09 </v>
      </c>
      <c r="I10">
        <v>0</v>
      </c>
      <c r="K10" t="str">
        <v xml:space="preserve">P001S003 </v>
      </c>
      <c r="M10">
        <v>2102</v>
      </c>
      <c r="O10">
        <v>10008</v>
      </c>
    </row>
    <row r="11" spans="1:19" x14ac:dyDescent="0.35">
      <c r="A11" t="str">
        <v>Redes, Lineas y Cables (Gastos de Adm.Cap. Direc)</v>
      </c>
      <c r="C11">
        <v>0</v>
      </c>
      <c r="E11">
        <v>0</v>
      </c>
      <c r="G11" t="str">
        <v xml:space="preserve">IC11 </v>
      </c>
      <c r="I11">
        <v>0</v>
      </c>
      <c r="K11" t="str">
        <v xml:space="preserve">P001S004 </v>
      </c>
      <c r="M11">
        <v>2103</v>
      </c>
      <c r="O11">
        <v>10009</v>
      </c>
    </row>
    <row r="12" spans="1:19" x14ac:dyDescent="0.35">
      <c r="A12" t="str">
        <v>Redes, Lineas y Cables (Gastos de Adm.Cap. Indirec</v>
      </c>
      <c r="C12">
        <v>0</v>
      </c>
      <c r="E12">
        <v>0</v>
      </c>
      <c r="G12" t="str">
        <v xml:space="preserve">IC12 </v>
      </c>
      <c r="I12">
        <v>0</v>
      </c>
      <c r="K12" t="str">
        <v xml:space="preserve">P001S005 </v>
      </c>
      <c r="M12">
        <v>2104</v>
      </c>
      <c r="O12">
        <v>12000</v>
      </c>
    </row>
    <row r="13" spans="1:19" x14ac:dyDescent="0.35">
      <c r="A13" t="str">
        <v>Redes, Lineas y Cables (Ajustes por Inflacion)</v>
      </c>
      <c r="C13">
        <v>0</v>
      </c>
      <c r="E13">
        <v>0</v>
      </c>
      <c r="G13" t="str">
        <v xml:space="preserve">ICA1 </v>
      </c>
      <c r="I13">
        <v>0</v>
      </c>
      <c r="K13" t="str">
        <v xml:space="preserve">P001S006 </v>
      </c>
      <c r="M13">
        <v>2201</v>
      </c>
      <c r="O13">
        <v>13000</v>
      </c>
    </row>
    <row r="14" spans="1:19" x14ac:dyDescent="0.35">
      <c r="A14" t="str">
        <v>Redes, Lineas y Cables (Gastos Financieros)</v>
      </c>
      <c r="C14">
        <v>0</v>
      </c>
      <c r="E14">
        <v>0</v>
      </c>
      <c r="G14" t="str">
        <v xml:space="preserve">ICO1 </v>
      </c>
      <c r="I14">
        <v>0</v>
      </c>
      <c r="K14" t="str">
        <v xml:space="preserve">P001S007 </v>
      </c>
      <c r="M14">
        <v>2202</v>
      </c>
      <c r="O14">
        <v>13000</v>
      </c>
    </row>
    <row r="15" spans="1:19" x14ac:dyDescent="0.35">
      <c r="A15" t="str">
        <v>Redes, Lineas y Cables (Comisiones Financieras)</v>
      </c>
      <c r="C15">
        <v>0</v>
      </c>
      <c r="E15">
        <v>0</v>
      </c>
      <c r="G15" t="str">
        <v xml:space="preserve">ICO2 </v>
      </c>
      <c r="I15">
        <v>0</v>
      </c>
      <c r="K15" t="str">
        <v xml:space="preserve">P002L004 </v>
      </c>
      <c r="M15">
        <v>2203</v>
      </c>
      <c r="O15">
        <v>20000</v>
      </c>
    </row>
    <row r="16" spans="1:19" x14ac:dyDescent="0.35">
      <c r="A16" t="str">
        <v>Plantas y Ductos (Costos Directos)</v>
      </c>
      <c r="C16">
        <v>0</v>
      </c>
      <c r="E16">
        <v>0</v>
      </c>
      <c r="G16">
        <v>0</v>
      </c>
      <c r="I16">
        <v>0</v>
      </c>
      <c r="K16" t="str">
        <v xml:space="preserve">P002S008 </v>
      </c>
      <c r="M16">
        <v>2301</v>
      </c>
      <c r="O16">
        <v>30000</v>
      </c>
    </row>
    <row r="17" spans="1:15" x14ac:dyDescent="0.35">
      <c r="A17" t="str">
        <v>Plantas y Ductos (Gastos de Adm.Cap. Direc)</v>
      </c>
      <c r="C17">
        <v>0</v>
      </c>
      <c r="E17">
        <v>0</v>
      </c>
      <c r="G17">
        <v>0</v>
      </c>
      <c r="I17">
        <v>0</v>
      </c>
      <c r="K17" t="str">
        <v xml:space="preserve">P002S009 </v>
      </c>
      <c r="M17">
        <v>2302</v>
      </c>
      <c r="O17">
        <v>30000</v>
      </c>
    </row>
    <row r="18" spans="1:15" x14ac:dyDescent="0.35">
      <c r="A18" t="str">
        <v>Plantas y Ductos (Gastos de Adm.Cap. Indirec)</v>
      </c>
      <c r="C18">
        <v>0</v>
      </c>
      <c r="E18">
        <v>0</v>
      </c>
      <c r="G18">
        <v>0</v>
      </c>
      <c r="I18">
        <v>0</v>
      </c>
      <c r="K18" t="str">
        <v xml:space="preserve">P003L004 </v>
      </c>
      <c r="M18">
        <v>3101</v>
      </c>
      <c r="O18">
        <v>30001</v>
      </c>
    </row>
    <row r="19" spans="1:15" x14ac:dyDescent="0.35">
      <c r="A19" t="str">
        <v>Edificaciones (Costos directos)</v>
      </c>
      <c r="C19">
        <v>0</v>
      </c>
      <c r="E19">
        <v>0</v>
      </c>
      <c r="G19">
        <v>0</v>
      </c>
      <c r="I19">
        <v>0</v>
      </c>
      <c r="K19" t="str">
        <v xml:space="preserve">P003S008 </v>
      </c>
      <c r="M19">
        <v>3102</v>
      </c>
      <c r="O19">
        <v>30002</v>
      </c>
    </row>
    <row r="20" spans="1:15" x14ac:dyDescent="0.35">
      <c r="A20" t="str">
        <v>Plantas y Ductos (Ajustes por Inflacion)</v>
      </c>
      <c r="C20">
        <v>0</v>
      </c>
      <c r="E20">
        <v>0</v>
      </c>
      <c r="G20">
        <v>0</v>
      </c>
      <c r="I20">
        <v>0</v>
      </c>
      <c r="K20" t="str">
        <v xml:space="preserve">P003S009 </v>
      </c>
      <c r="M20">
        <v>3103</v>
      </c>
      <c r="O20">
        <v>30003</v>
      </c>
    </row>
    <row r="21" spans="1:15" x14ac:dyDescent="0.35">
      <c r="A21" t="str">
        <v>Plantas y Ductos (Gastos Financieros)</v>
      </c>
      <c r="C21">
        <v>0</v>
      </c>
      <c r="E21">
        <v>0</v>
      </c>
      <c r="G21">
        <v>0</v>
      </c>
      <c r="I21">
        <v>0</v>
      </c>
      <c r="K21" t="str">
        <v xml:space="preserve">P004S001 </v>
      </c>
      <c r="M21">
        <v>3201</v>
      </c>
      <c r="O21">
        <v>40000</v>
      </c>
    </row>
    <row r="22" spans="1:15" x14ac:dyDescent="0.35">
      <c r="A22" t="str">
        <v>Plantas y Ductos (Comisiones Financieras)</v>
      </c>
      <c r="C22">
        <v>0</v>
      </c>
      <c r="E22">
        <v>0</v>
      </c>
      <c r="G22">
        <v>0</v>
      </c>
      <c r="I22">
        <v>0</v>
      </c>
      <c r="K22" t="str">
        <v xml:space="preserve">P004S003 </v>
      </c>
      <c r="M22">
        <v>3202</v>
      </c>
      <c r="O22">
        <v>40000</v>
      </c>
    </row>
    <row r="23" spans="1:15" x14ac:dyDescent="0.35">
      <c r="A23" t="str">
        <v>Plantas y Ductos (Costos Directos) Saldo inicial</v>
      </c>
      <c r="C23">
        <v>0</v>
      </c>
      <c r="E23">
        <v>0</v>
      </c>
      <c r="G23">
        <v>0</v>
      </c>
      <c r="I23">
        <v>0</v>
      </c>
      <c r="K23" t="str">
        <v xml:space="preserve">P004S005 </v>
      </c>
      <c r="M23">
        <v>3301</v>
      </c>
      <c r="O23">
        <v>40001</v>
      </c>
    </row>
    <row r="24" spans="1:15" x14ac:dyDescent="0.35">
      <c r="A24" t="str">
        <v>Eq de Comun y Computo (Costos Directo)</v>
      </c>
      <c r="C24">
        <v>0</v>
      </c>
      <c r="E24">
        <v>0</v>
      </c>
      <c r="G24">
        <v>0</v>
      </c>
      <c r="I24">
        <v>0</v>
      </c>
      <c r="K24" t="str">
        <v xml:space="preserve">P005S001 </v>
      </c>
      <c r="M24">
        <v>3302</v>
      </c>
      <c r="O24">
        <v>40002</v>
      </c>
    </row>
    <row r="25" spans="1:15" x14ac:dyDescent="0.35">
      <c r="A25" t="str">
        <v>Eq de Comun y Computo (Gastos Financieros)</v>
      </c>
      <c r="C25">
        <v>0</v>
      </c>
      <c r="E25">
        <v>0</v>
      </c>
      <c r="G25">
        <v>0</v>
      </c>
      <c r="I25">
        <v>0</v>
      </c>
      <c r="K25" t="str">
        <v xml:space="preserve">P007S011 </v>
      </c>
      <c r="M25">
        <v>3303</v>
      </c>
      <c r="O25">
        <v>40003</v>
      </c>
    </row>
    <row r="26" spans="1:15" x14ac:dyDescent="0.35">
      <c r="A26" t="str">
        <v>Eq de Comun y Computo (Gastos de Adm.Cap. Direc)</v>
      </c>
      <c r="C26">
        <v>0</v>
      </c>
      <c r="E26">
        <v>0</v>
      </c>
      <c r="G26">
        <v>0</v>
      </c>
      <c r="I26">
        <v>0</v>
      </c>
      <c r="K26" t="str">
        <v xml:space="preserve">P008S012 </v>
      </c>
      <c r="M26">
        <v>3304</v>
      </c>
      <c r="O26">
        <v>40004</v>
      </c>
    </row>
    <row r="27" spans="1:15" x14ac:dyDescent="0.35">
      <c r="A27" t="str">
        <v>Eq de Comun y Computo  (Gastos de Adm.Cap. Ind)</v>
      </c>
      <c r="C27">
        <v>0</v>
      </c>
      <c r="E27">
        <v>0</v>
      </c>
      <c r="G27">
        <v>0</v>
      </c>
      <c r="I27">
        <v>0</v>
      </c>
      <c r="K27" t="str">
        <v xml:space="preserve">P009S013 </v>
      </c>
      <c r="M27">
        <v>4101</v>
      </c>
      <c r="O27">
        <v>40005</v>
      </c>
    </row>
    <row r="28" spans="1:15" x14ac:dyDescent="0.35">
      <c r="A28" t="str">
        <v>Eq de Comun y Computo  (Ajuste por Inflacion)</v>
      </c>
      <c r="C28">
        <v>0</v>
      </c>
      <c r="E28">
        <v>0</v>
      </c>
      <c r="G28">
        <v>0</v>
      </c>
      <c r="I28">
        <v>0</v>
      </c>
      <c r="K28" t="str">
        <v xml:space="preserve">P011S015 </v>
      </c>
      <c r="M28">
        <v>4102</v>
      </c>
      <c r="O28">
        <v>40009</v>
      </c>
    </row>
    <row r="29" spans="1:15" x14ac:dyDescent="0.35">
      <c r="A29" t="str">
        <v>Eq de Comun y Computo (Comisiones Financieras)</v>
      </c>
      <c r="C29">
        <v>0</v>
      </c>
      <c r="E29">
        <v>0</v>
      </c>
      <c r="G29">
        <v>0</v>
      </c>
      <c r="I29">
        <v>0</v>
      </c>
      <c r="K29" t="str">
        <v xml:space="preserve">P012S016  </v>
      </c>
      <c r="M29">
        <v>4103</v>
      </c>
      <c r="O29">
        <v>50000</v>
      </c>
    </row>
    <row r="30" spans="1:15" x14ac:dyDescent="0.35">
      <c r="A30" t="str">
        <v>Redes, Lineas y Cables (Costos Directos) DP</v>
      </c>
      <c r="C30">
        <v>0</v>
      </c>
      <c r="E30">
        <v>0</v>
      </c>
      <c r="G30">
        <v>0</v>
      </c>
      <c r="I30">
        <v>0</v>
      </c>
      <c r="K30" t="str">
        <v xml:space="preserve">ICO20000 </v>
      </c>
      <c r="M30">
        <v>4104</v>
      </c>
      <c r="O30">
        <v>60000</v>
      </c>
    </row>
    <row r="31" spans="1:15" x14ac:dyDescent="0.35">
      <c r="A31" t="str">
        <v>Redes, Lineas y Cables (Ajustes por Inflacion)DP</v>
      </c>
      <c r="M31">
        <v>4105</v>
      </c>
      <c r="O31">
        <v>60001</v>
      </c>
    </row>
    <row r="32" spans="1:15" x14ac:dyDescent="0.35">
      <c r="A32" t="str">
        <v>Redes, Lineas y Cables(Gastos de Adm.Cap. Direc)DP</v>
      </c>
      <c r="M32">
        <v>4106</v>
      </c>
      <c r="O32">
        <v>60002</v>
      </c>
    </row>
    <row r="33" spans="1:15" x14ac:dyDescent="0.35">
      <c r="A33" t="str">
        <v>Redes,LineasyCables(Gastos de Adm.Cap. Indirec)DP</v>
      </c>
      <c r="M33">
        <v>4201</v>
      </c>
      <c r="O33">
        <v>60003</v>
      </c>
    </row>
    <row r="34" spans="1:15" x14ac:dyDescent="0.35">
      <c r="A34" t="str">
        <v>Redes, Lineas y Cables (Dif. en Cam Obli Finan) DP</v>
      </c>
      <c r="M34">
        <v>4202</v>
      </c>
      <c r="O34">
        <v>70000</v>
      </c>
    </row>
    <row r="35" spans="1:15" x14ac:dyDescent="0.35">
      <c r="A35" t="str">
        <v>Redes, Lineas y Cables (Gastos Financieros) DP</v>
      </c>
      <c r="M35">
        <v>4203</v>
      </c>
      <c r="O35" t="str">
        <v xml:space="preserve">ANALAG2201 </v>
      </c>
    </row>
    <row r="36" spans="1:15" x14ac:dyDescent="0.35">
      <c r="A36" t="str">
        <v>Plantas y Ductos (Dif. en Cambio Obli Finan) DP</v>
      </c>
      <c r="M36">
        <v>4204</v>
      </c>
      <c r="O36" t="str">
        <v xml:space="preserve">ANALAG2202 </v>
      </c>
    </row>
    <row r="37" spans="1:15" x14ac:dyDescent="0.35">
      <c r="A37" t="str">
        <v>Plantas y Ductos (Gastos Financieros) DP</v>
      </c>
      <c r="M37">
        <v>4301</v>
      </c>
      <c r="O37" t="str">
        <v>CARD220-M</v>
      </c>
    </row>
    <row r="38" spans="1:15" x14ac:dyDescent="0.35">
      <c r="A38" t="str">
        <v>Plantas y Ductos (Gastos de Adm.Cap. Direc) DP</v>
      </c>
      <c r="M38">
        <v>4302</v>
      </c>
      <c r="O38" t="str">
        <v>CARD220-O</v>
      </c>
    </row>
    <row r="39" spans="1:15" x14ac:dyDescent="0.35">
      <c r="A39" t="str">
        <v>Plantas y Ductos (Gastos de Adm.Cap. Indirec) DP</v>
      </c>
      <c r="M39">
        <v>4303</v>
      </c>
      <c r="O39" t="str">
        <v xml:space="preserve">CARD2J14PL </v>
      </c>
    </row>
    <row r="40" spans="1:15" x14ac:dyDescent="0.35">
      <c r="A40" t="str">
        <v>Plantas y Ductos (Ajustes por Inflacion) DP</v>
      </c>
      <c r="M40">
        <v>4304</v>
      </c>
      <c r="O40" t="str">
        <v xml:space="preserve">CARD2J15PL </v>
      </c>
    </row>
    <row r="41" spans="1:15" x14ac:dyDescent="0.35">
      <c r="A41" t="str">
        <v>Eq de Comun y Computo (Costos Directo) Ordenes de</v>
      </c>
      <c r="M41">
        <v>4305</v>
      </c>
      <c r="O41" t="str">
        <v xml:space="preserve">CARD2MCOMU </v>
      </c>
    </row>
    <row r="42" spans="1:15" x14ac:dyDescent="0.35">
      <c r="A42" t="str">
        <v>Eq de Comun y Computo (Gastos de Adm.Cap. Direc) O</v>
      </c>
      <c r="M42">
        <v>5101</v>
      </c>
      <c r="O42" t="str">
        <v xml:space="preserve">CARNCA2201 </v>
      </c>
    </row>
    <row r="43" spans="1:15" x14ac:dyDescent="0.35">
      <c r="A43" t="str">
        <v>Eq de Comun y Computo  (Gastos de Adm.Cap. Ind) Or</v>
      </c>
      <c r="M43">
        <v>5102</v>
      </c>
      <c r="O43" t="str">
        <v xml:space="preserve">CARNCA2202 </v>
      </c>
    </row>
    <row r="44" spans="1:15" x14ac:dyDescent="0.35">
      <c r="A44" t="str">
        <v>Eq de Comun y Computo  (Ajuste por Inflacion) Orde</v>
      </c>
      <c r="M44">
        <v>5103</v>
      </c>
      <c r="O44" t="str">
        <v xml:space="preserve">CIERRE </v>
      </c>
    </row>
    <row r="45" spans="1:15" x14ac:dyDescent="0.35">
      <c r="A45" t="str">
        <v>Eq de Comun y Computo (Dif. en Cam Obli Finan) Ord</v>
      </c>
      <c r="M45">
        <v>5104</v>
      </c>
      <c r="O45" t="str">
        <v xml:space="preserve">ENCANA2201 </v>
      </c>
    </row>
    <row r="46" spans="1:15" x14ac:dyDescent="0.35">
      <c r="A46" t="str">
        <v>Eq de Comun y Computo (Gastos Financieros) Ordenes</v>
      </c>
      <c r="M46">
        <v>5105</v>
      </c>
      <c r="O46" t="str">
        <v xml:space="preserve">ENCANA2202 </v>
      </c>
    </row>
    <row r="47" spans="1:15" x14ac:dyDescent="0.35">
      <c r="A47" t="str">
        <v>Edificaciones (Costos directos) Ordenes de Inversi</v>
      </c>
      <c r="M47">
        <v>5107</v>
      </c>
      <c r="O47" t="str">
        <v xml:space="preserve">ENCLAG2201 </v>
      </c>
    </row>
    <row r="48" spans="1:15" x14ac:dyDescent="0.35">
      <c r="A48" t="str">
        <v>Edificaciones (Ajustes por inflación)Ordenes de In</v>
      </c>
      <c r="M48">
        <v>5109</v>
      </c>
      <c r="O48" t="str">
        <v xml:space="preserve">ENCLAG2202 </v>
      </c>
    </row>
    <row r="49" spans="1:15" x14ac:dyDescent="0.35">
      <c r="A49" t="str">
        <v>Edificaciones (Gastos de Adm.Cap. Direc)</v>
      </c>
      <c r="M49">
        <v>5201</v>
      </c>
      <c r="O49" t="str">
        <v>ENCU1220-M</v>
      </c>
    </row>
    <row r="50" spans="1:15" x14ac:dyDescent="0.35">
      <c r="A50" t="str">
        <v>Edificaciones (Gastos de Adm.Cap. Indirec)</v>
      </c>
      <c r="M50">
        <v>5301</v>
      </c>
      <c r="O50" t="str">
        <v>ENCU1220-O</v>
      </c>
    </row>
    <row r="51" spans="1:15" x14ac:dyDescent="0.35">
      <c r="A51" t="str">
        <v>Maquinaria y Equipo (Costos Directo)DP</v>
      </c>
      <c r="M51">
        <v>5302</v>
      </c>
      <c r="O51" t="str">
        <v>ENCU2202-M</v>
      </c>
    </row>
    <row r="52" spans="1:15" x14ac:dyDescent="0.35">
      <c r="A52" t="str">
        <v>Obr Infraestr Ctos Directos Const Curso</v>
      </c>
      <c r="M52">
        <v>5303</v>
      </c>
      <c r="O52" t="str">
        <v xml:space="preserve">ENCU2DIFBA </v>
      </c>
    </row>
    <row r="53" spans="1:15" x14ac:dyDescent="0.35">
      <c r="A53" t="str">
        <v>Edificaciones (Ajustes por inflación)</v>
      </c>
      <c r="M53">
        <v>5304</v>
      </c>
      <c r="O53" t="str">
        <v xml:space="preserve">ENCU2J17PL </v>
      </c>
    </row>
    <row r="54" spans="1:15" x14ac:dyDescent="0.35">
      <c r="A54" t="str">
        <v>Eq de Comun y Computo (Comisiones Financieras)Orde</v>
      </c>
      <c r="M54">
        <v>5401</v>
      </c>
      <c r="O54" t="str">
        <v xml:space="preserve">ENCU2J18PL </v>
      </c>
    </row>
    <row r="55" spans="1:15" x14ac:dyDescent="0.35">
      <c r="A55" t="str">
        <v>Plantas y Ductos (Dif. en Cambio Obli Finan)</v>
      </c>
      <c r="M55">
        <v>5402</v>
      </c>
      <c r="O55" t="str">
        <v xml:space="preserve">ENCU2MCOMU </v>
      </c>
    </row>
    <row r="56" spans="1:15" x14ac:dyDescent="0.35">
      <c r="A56" t="str">
        <v>Edificaciones (Gastos Financieros)</v>
      </c>
      <c r="M56">
        <v>5403</v>
      </c>
      <c r="O56" t="str">
        <v>LAGU1220-M</v>
      </c>
    </row>
    <row r="57" spans="1:15" x14ac:dyDescent="0.35">
      <c r="A57" t="str">
        <v>Edificaciones (Comisiones Financieras)</v>
      </c>
      <c r="M57">
        <v>5404</v>
      </c>
      <c r="O57" t="str">
        <v>LAGU1220-O</v>
      </c>
    </row>
    <row r="58" spans="1:15" x14ac:dyDescent="0.35">
      <c r="A58" t="str">
        <v>Edificaciones ((Dif. en Cambio Obli Finan)</v>
      </c>
      <c r="M58">
        <v>5405</v>
      </c>
      <c r="O58" t="str">
        <v>LAGU2202-M</v>
      </c>
    </row>
    <row r="59" spans="1:15" x14ac:dyDescent="0.35">
      <c r="A59" t="str">
        <v>Redes, Lineas y Cables (Dif. en Cam Obli Finan)</v>
      </c>
      <c r="M59">
        <v>5501</v>
      </c>
      <c r="O59" t="str">
        <v xml:space="preserve">LAGU2DIFBA </v>
      </c>
    </row>
    <row r="60" spans="1:15" x14ac:dyDescent="0.35">
      <c r="A60" t="str">
        <v>Eq de Comun y Computo (Dif. en Cam Obli Finan)</v>
      </c>
      <c r="M60">
        <v>5502</v>
      </c>
      <c r="O60" t="str">
        <v xml:space="preserve">LAGU2J08PL </v>
      </c>
    </row>
    <row r="61" spans="1:15" x14ac:dyDescent="0.35">
      <c r="A61" t="str">
        <v>ConstrucCurso-NoExplotRecDaciónPago</v>
      </c>
      <c r="M61">
        <v>5503</v>
      </c>
      <c r="O61" t="str">
        <v xml:space="preserve">LAGU2J09PL </v>
      </c>
    </row>
    <row r="62" spans="1:15" x14ac:dyDescent="0.35">
      <c r="A62" t="str">
        <v>Equipos de subestación en construcción</v>
      </c>
      <c r="M62">
        <v>5504</v>
      </c>
      <c r="O62" t="str">
        <v xml:space="preserve">LAGU2JZ1MC </v>
      </c>
    </row>
    <row r="63" spans="1:15" x14ac:dyDescent="0.35">
      <c r="A63" t="str">
        <v>Estructuras y Edificios</v>
      </c>
      <c r="M63">
        <v>5506</v>
      </c>
      <c r="O63" t="str">
        <v xml:space="preserve">LAGU2JZ1PC </v>
      </c>
    </row>
    <row r="64" spans="1:15" x14ac:dyDescent="0.35">
      <c r="A64" t="str">
        <v>Redes Lineas  y Cables en Montaje</v>
      </c>
      <c r="M64">
        <v>5601</v>
      </c>
      <c r="O64" t="str">
        <v xml:space="preserve">LAGU2MCOMU </v>
      </c>
    </row>
    <row r="65" spans="1:15" x14ac:dyDescent="0.35">
      <c r="A65" t="str">
        <v>LF  Estructuras y Edificios</v>
      </c>
      <c r="M65">
        <v>5602</v>
      </c>
      <c r="O65" t="str">
        <v xml:space="preserve">MAINMA2201 </v>
      </c>
    </row>
    <row r="66" spans="1:15" x14ac:dyDescent="0.35">
      <c r="A66" t="str">
        <v>Plantas y ductos en Montaje-Ctos Directos</v>
      </c>
      <c r="M66">
        <v>5603</v>
      </c>
      <c r="O66" t="str">
        <v xml:space="preserve">MAINMA2202 </v>
      </c>
    </row>
    <row r="67" spans="1:15" x14ac:dyDescent="0.35">
      <c r="A67" t="str">
        <v>Activos construcción Provision Proyectos</v>
      </c>
      <c r="M67">
        <v>5604</v>
      </c>
      <c r="O67" t="str">
        <v>MAIT220-M</v>
      </c>
    </row>
    <row r="68" spans="1:15" x14ac:dyDescent="0.35">
      <c r="A68" t="str">
        <v>Estudios para Proyectos (Costos Directos)</v>
      </c>
      <c r="M68">
        <v>5605</v>
      </c>
      <c r="O68" t="str">
        <v>MAIT220-O</v>
      </c>
    </row>
    <row r="69" spans="1:15" x14ac:dyDescent="0.35">
      <c r="A69" t="str">
        <v>Estudios para Proyectos (Gastos de Adm.Cap. Direc)</v>
      </c>
      <c r="M69">
        <v>5606</v>
      </c>
      <c r="O69" t="str">
        <v xml:space="preserve">MAIT2J13PL </v>
      </c>
    </row>
    <row r="70" spans="1:15" x14ac:dyDescent="0.35">
      <c r="A70" t="str">
        <v>Plantas y Ductos en Transito</v>
      </c>
      <c r="M70">
        <v>5701</v>
      </c>
      <c r="O70" t="str">
        <v xml:space="preserve">MAIT2J14PL </v>
      </c>
    </row>
    <row r="71" spans="1:15" x14ac:dyDescent="0.35">
      <c r="A71" t="str">
        <v>Plantas y ductos en Montaje-Ajustes por Inflación</v>
      </c>
      <c r="M71">
        <v>5702</v>
      </c>
      <c r="O71" t="str">
        <v xml:space="preserve">MAIT2MCOMU </v>
      </c>
    </row>
    <row r="72" spans="1:15" x14ac:dyDescent="0.35">
      <c r="A72" t="str">
        <v>Eq de Comun y Computo  (Ajuste por Inflacion) Orde</v>
      </c>
      <c r="M72">
        <v>5703</v>
      </c>
      <c r="O72" t="str">
        <v>MTTO-SE</v>
      </c>
    </row>
    <row r="73" spans="1:15" x14ac:dyDescent="0.35">
      <c r="A73" t="str">
        <v>Muebles, Enseres y Equipo de Oficina en Bodega</v>
      </c>
      <c r="M73">
        <v>5704</v>
      </c>
      <c r="O73" t="str">
        <v xml:space="preserve">NCANMA5001 </v>
      </c>
    </row>
    <row r="74" spans="1:15" x14ac:dyDescent="0.35">
      <c r="A74" t="str">
        <v>Herramienta, Repuestos y Accesorios en Bodega</v>
      </c>
      <c r="M74">
        <v>5705</v>
      </c>
      <c r="O74" t="str">
        <v xml:space="preserve">NCANMA5002 </v>
      </c>
    </row>
    <row r="75" spans="1:15" x14ac:dyDescent="0.35">
      <c r="A75" t="str">
        <v>Edificios</v>
      </c>
      <c r="M75">
        <v>5706</v>
      </c>
      <c r="O75" t="str">
        <v xml:space="preserve">NCAR0CONEX </v>
      </c>
    </row>
    <row r="76" spans="1:15" x14ac:dyDescent="0.35">
      <c r="A76" t="str">
        <v>Oficinas</v>
      </c>
      <c r="M76">
        <v>5801</v>
      </c>
      <c r="O76" t="str">
        <v xml:space="preserve">NCAR0F01PT </v>
      </c>
    </row>
    <row r="77" spans="1:15" x14ac:dyDescent="0.35">
      <c r="A77" t="str">
        <v>Almacenes</v>
      </c>
      <c r="M77">
        <v>5802</v>
      </c>
      <c r="O77" t="str">
        <v xml:space="preserve">NCAR0F02PT </v>
      </c>
    </row>
    <row r="78" spans="1:15" x14ac:dyDescent="0.35">
      <c r="A78" t="str">
        <v>Cafeterias y Casinos</v>
      </c>
      <c r="M78">
        <v>5803</v>
      </c>
      <c r="O78" t="str">
        <v>NCAR220-M</v>
      </c>
    </row>
    <row r="79" spans="1:15" x14ac:dyDescent="0.35">
      <c r="A79" t="str">
        <v>Casetas</v>
      </c>
      <c r="M79">
        <v>5804</v>
      </c>
      <c r="O79" t="str">
        <v>NCAR220-O</v>
      </c>
    </row>
    <row r="80" spans="1:15" x14ac:dyDescent="0.35">
      <c r="A80" t="str">
        <v>Parqueaderos y Garajes</v>
      </c>
      <c r="M80">
        <v>6101</v>
      </c>
      <c r="O80" t="str">
        <v xml:space="preserve">NCAR2BARRA </v>
      </c>
    </row>
    <row r="81" spans="1:15" x14ac:dyDescent="0.35">
      <c r="A81" t="str">
        <v>Propiedades de Inversion Edificaciones</v>
      </c>
      <c r="M81">
        <v>6102</v>
      </c>
      <c r="O81" t="str">
        <v xml:space="preserve">NCAR2DIFBA </v>
      </c>
    </row>
    <row r="82" spans="1:15" x14ac:dyDescent="0.35">
      <c r="A82" t="str">
        <v>Edificios no explotados</v>
      </c>
      <c r="M82">
        <v>6103</v>
      </c>
      <c r="O82" t="str">
        <v xml:space="preserve">NCAR2J01PT </v>
      </c>
    </row>
    <row r="83" spans="1:15" x14ac:dyDescent="0.35">
      <c r="A83" t="str">
        <v>Arrendamiento Financiero Edificio.</v>
      </c>
      <c r="M83">
        <v>6104</v>
      </c>
      <c r="O83" t="str">
        <v xml:space="preserve">NCAR2J02ME </v>
      </c>
    </row>
    <row r="84" spans="1:15" x14ac:dyDescent="0.35">
      <c r="A84" t="str">
        <v>LF Almacenes Leasing</v>
      </c>
      <c r="M84">
        <v>6105</v>
      </c>
      <c r="O84" t="str">
        <v xml:space="preserve">NCAR2J03PL </v>
      </c>
    </row>
    <row r="85" spans="1:15" x14ac:dyDescent="0.35">
      <c r="A85" t="str">
        <v>LF Parqueaderos y Gar. Leasing</v>
      </c>
      <c r="M85">
        <v>6106</v>
      </c>
      <c r="O85" t="str">
        <v xml:space="preserve">NCAR2J04PT </v>
      </c>
    </row>
    <row r="86" spans="1:15" x14ac:dyDescent="0.35">
      <c r="A86" t="str">
        <v>Edificios</v>
      </c>
      <c r="M86">
        <v>6107</v>
      </c>
      <c r="O86" t="str">
        <v xml:space="preserve">NCAR2J05ME </v>
      </c>
    </row>
    <row r="87" spans="1:15" x14ac:dyDescent="0.35">
      <c r="A87" t="str">
        <v>Edificios</v>
      </c>
      <c r="M87">
        <v>6108</v>
      </c>
      <c r="O87" t="str">
        <v xml:space="preserve">NCAR2J06PL </v>
      </c>
    </row>
    <row r="88" spans="1:15" x14ac:dyDescent="0.35">
      <c r="A88" t="str">
        <v>Oficinas</v>
      </c>
      <c r="M88">
        <v>6109</v>
      </c>
      <c r="O88" t="str">
        <v xml:space="preserve">NCAR2MCOMU </v>
      </c>
    </row>
    <row r="89" spans="1:15" x14ac:dyDescent="0.35">
      <c r="A89" t="str">
        <v>Almacenes</v>
      </c>
      <c r="M89">
        <v>6110</v>
      </c>
      <c r="O89" t="str">
        <v>NCAR500-M</v>
      </c>
    </row>
    <row r="90" spans="1:15" x14ac:dyDescent="0.35">
      <c r="A90" t="str">
        <v>Parqueaderos y Garajes</v>
      </c>
      <c r="M90">
        <v>6111</v>
      </c>
      <c r="O90" t="str">
        <v>NCAR500-O</v>
      </c>
    </row>
    <row r="91" spans="1:15" x14ac:dyDescent="0.35">
      <c r="A91" t="str">
        <v>Edificios no explotados</v>
      </c>
      <c r="M91">
        <v>6112</v>
      </c>
      <c r="O91" t="str">
        <v>NCAR5ATR-1</v>
      </c>
    </row>
    <row r="92" spans="1:15" x14ac:dyDescent="0.35">
      <c r="A92" t="str">
        <v>Cafeterias y Casinos</v>
      </c>
      <c r="M92">
        <v>6113</v>
      </c>
      <c r="O92" t="str">
        <v>NCAR5ATR-2</v>
      </c>
    </row>
    <row r="93" spans="1:15" x14ac:dyDescent="0.35">
      <c r="A93" t="str">
        <v>Propiedades de Inversion Edificaciones</v>
      </c>
      <c r="M93">
        <v>6114</v>
      </c>
      <c r="O93" t="str">
        <v xml:space="preserve">NCAR5ATRR1 </v>
      </c>
    </row>
    <row r="94" spans="1:15" x14ac:dyDescent="0.35">
      <c r="A94" t="str">
        <v>Equipos de Subestación</v>
      </c>
      <c r="M94">
        <v>6115</v>
      </c>
      <c r="O94" t="str">
        <v xml:space="preserve">NCAR5BABUJ </v>
      </c>
    </row>
    <row r="95" spans="1:15" x14ac:dyDescent="0.35">
      <c r="A95" t="str">
        <v>Equipos de Subestación Nueva Estructura 40 Años</v>
      </c>
      <c r="M95">
        <v>6116</v>
      </c>
      <c r="O95" t="str">
        <v xml:space="preserve">NCAR5BARRA </v>
      </c>
    </row>
    <row r="96" spans="1:15" x14ac:dyDescent="0.35">
      <c r="A96" t="str">
        <v>Equipos de Subestación</v>
      </c>
      <c r="M96">
        <v>6117</v>
      </c>
      <c r="O96" t="str">
        <v xml:space="preserve">NCAR5DIFBA </v>
      </c>
    </row>
    <row r="97" spans="1:15" x14ac:dyDescent="0.35">
      <c r="A97" t="str">
        <v>Equipos de Subestación Nueva Estructura 15 Años</v>
      </c>
      <c r="M97">
        <v>6201</v>
      </c>
      <c r="O97" t="str">
        <v xml:space="preserve">NCAR5K01PT </v>
      </c>
    </row>
    <row r="98" spans="1:15" x14ac:dyDescent="0.35">
      <c r="A98" t="str">
        <v>Equipos de Subestación Nueva Estructura 30 Años</v>
      </c>
      <c r="M98">
        <v>6202</v>
      </c>
      <c r="O98" t="str">
        <v xml:space="preserve">NCAR5K02ME </v>
      </c>
    </row>
    <row r="99" spans="1:15" x14ac:dyDescent="0.35">
      <c r="A99" t="str">
        <v>Equipos de Subestación Nueva Estructura 38 Años</v>
      </c>
      <c r="M99">
        <v>6203</v>
      </c>
      <c r="O99" t="str">
        <v xml:space="preserve">NCAR5K03MC </v>
      </c>
    </row>
    <row r="100" spans="1:15" x14ac:dyDescent="0.35">
      <c r="A100" t="str">
        <v>Equipos de Subestación Nueva Estructura 32Años</v>
      </c>
      <c r="M100">
        <v>6204</v>
      </c>
      <c r="O100" t="str">
        <v xml:space="preserve">NCAR5K03PC </v>
      </c>
    </row>
    <row r="101" spans="1:15" x14ac:dyDescent="0.35">
      <c r="A101" t="str">
        <v>Equipos de Subestación Nueva Estructura 27 Años</v>
      </c>
      <c r="M101">
        <v>6205</v>
      </c>
      <c r="O101" t="str">
        <v xml:space="preserve">NCAR5K03PL </v>
      </c>
    </row>
    <row r="102" spans="1:15" x14ac:dyDescent="0.35">
      <c r="A102" t="str">
        <v>Equipos de Subestación Nueva Estructura 39 Años</v>
      </c>
      <c r="M102">
        <v>6206</v>
      </c>
      <c r="O102" t="str">
        <v xml:space="preserve">NCAR5K04PT </v>
      </c>
    </row>
    <row r="103" spans="1:15" x14ac:dyDescent="0.35">
      <c r="A103" t="str">
        <v>Equipos de Subestación Nueva Estructura 40 Años</v>
      </c>
      <c r="M103">
        <v>6301</v>
      </c>
      <c r="O103" t="str">
        <v xml:space="preserve">NCAR5K05ME </v>
      </c>
    </row>
    <row r="104" spans="1:15" x14ac:dyDescent="0.35">
      <c r="A104" t="str">
        <v>Equipos de Subestación Nueva Estructura 15 Años</v>
      </c>
      <c r="M104">
        <v>6302</v>
      </c>
      <c r="O104" t="str">
        <v xml:space="preserve">NCAR5K06MC </v>
      </c>
    </row>
    <row r="105" spans="1:15" x14ac:dyDescent="0.35">
      <c r="A105" t="str">
        <v>Equipos de Subestación Nueva Estructura 38 Años</v>
      </c>
      <c r="M105">
        <v>6303</v>
      </c>
      <c r="O105" t="str">
        <v xml:space="preserve">NCAR5K06PC </v>
      </c>
    </row>
    <row r="106" spans="1:15" x14ac:dyDescent="0.35">
      <c r="A106" t="str">
        <v>Equipos de Subestación Nueva Estructura 30 Años</v>
      </c>
      <c r="M106">
        <v>6304</v>
      </c>
      <c r="O106" t="str">
        <v xml:space="preserve">NCAR5K06PL </v>
      </c>
    </row>
    <row r="107" spans="1:15" x14ac:dyDescent="0.35">
      <c r="A107" t="str">
        <v>Equipos de Subestación Nueva Estructura 32Años</v>
      </c>
      <c r="M107">
        <v>6305</v>
      </c>
      <c r="O107" t="str">
        <v xml:space="preserve">NCAR5K0RR1 </v>
      </c>
    </row>
    <row r="108" spans="1:15" x14ac:dyDescent="0.35">
      <c r="A108" t="str">
        <v>Equipos de Subestación Nueva Estructura 27 Años</v>
      </c>
      <c r="M108">
        <v>6306</v>
      </c>
      <c r="O108" t="str">
        <v xml:space="preserve">NCAR5MCOMU </v>
      </c>
    </row>
    <row r="109" spans="1:15" x14ac:dyDescent="0.35">
      <c r="A109" t="str">
        <v>Equipos de Subestación Nueva Estructura 39 Años</v>
      </c>
      <c r="M109">
        <v>6307</v>
      </c>
      <c r="O109" t="str">
        <v xml:space="preserve">NMAI0CONEX </v>
      </c>
    </row>
    <row r="110" spans="1:15" x14ac:dyDescent="0.35">
      <c r="A110" t="str">
        <v>Equipos de Subestación Nueva Estructura 20 Años</v>
      </c>
      <c r="M110">
        <v>6308</v>
      </c>
      <c r="O110" t="str">
        <v xml:space="preserve">NMAI0F01PT </v>
      </c>
    </row>
    <row r="111" spans="1:15" x14ac:dyDescent="0.35">
      <c r="A111" t="str">
        <v>Equipos de Subestación Nueva Estructura 25 Años</v>
      </c>
      <c r="M111">
        <v>6309</v>
      </c>
      <c r="O111" t="str">
        <v xml:space="preserve">NMAI0F02PT </v>
      </c>
    </row>
    <row r="112" spans="1:15" x14ac:dyDescent="0.35">
      <c r="A112" t="str">
        <v>Equipos de Subestación Nueva Estructura 18 Años</v>
      </c>
      <c r="M112">
        <v>6310</v>
      </c>
      <c r="O112" t="str">
        <v>NMAI220-M</v>
      </c>
    </row>
    <row r="113" spans="1:15" x14ac:dyDescent="0.35">
      <c r="A113" t="str">
        <v>Equipos de Subestación Nueva Estructura 35 Años</v>
      </c>
      <c r="M113">
        <v>7101</v>
      </c>
      <c r="O113" t="str">
        <v>NMAI220-O</v>
      </c>
    </row>
    <row r="114" spans="1:15" x14ac:dyDescent="0.35">
      <c r="A114" t="str">
        <v>Equipos de Subestación Nueva Estructura 10 Años</v>
      </c>
      <c r="M114">
        <v>7102</v>
      </c>
      <c r="O114" t="str">
        <v xml:space="preserve">NMAI2BARRA </v>
      </c>
    </row>
    <row r="115" spans="1:15" x14ac:dyDescent="0.35">
      <c r="A115" t="str">
        <v>Lineas y Cables de Transmision 40 años</v>
      </c>
      <c r="M115">
        <v>7103</v>
      </c>
      <c r="O115" t="str">
        <v xml:space="preserve">NMAI2DIFBA </v>
      </c>
    </row>
    <row r="116" spans="1:15" x14ac:dyDescent="0.35">
      <c r="A116" t="str">
        <v>Lineas y Cables de Transmision 40 años</v>
      </c>
      <c r="M116">
        <v>7104</v>
      </c>
      <c r="O116" t="str">
        <v xml:space="preserve">NMAI2J01PT </v>
      </c>
    </row>
    <row r="117" spans="1:15" x14ac:dyDescent="0.35">
      <c r="A117" t="str">
        <v>Lineas y Cables de Transmision 63 años</v>
      </c>
      <c r="M117">
        <v>7105</v>
      </c>
      <c r="O117" t="str">
        <v xml:space="preserve">NMAI2J02ME </v>
      </c>
    </row>
    <row r="118" spans="1:15" x14ac:dyDescent="0.35">
      <c r="A118" t="str">
        <v>Lineas y Cables de Telecomunicaciones</v>
      </c>
      <c r="M118">
        <v>7106</v>
      </c>
      <c r="O118" t="str">
        <v xml:space="preserve">NMAI2J03PL </v>
      </c>
    </row>
    <row r="119" spans="1:15" x14ac:dyDescent="0.35">
      <c r="A119" t="str">
        <v>Herramientas y Accesorios</v>
      </c>
      <c r="M119">
        <v>7107</v>
      </c>
      <c r="O119" t="str">
        <v xml:space="preserve">NMAI2J04PT </v>
      </c>
    </row>
    <row r="120" spans="1:15" x14ac:dyDescent="0.35">
      <c r="A120" t="str">
        <v>Maquinaria Industrial</v>
      </c>
      <c r="M120">
        <v>7108</v>
      </c>
      <c r="O120" t="str">
        <v xml:space="preserve">NMAI2J05ME </v>
      </c>
    </row>
    <row r="121" spans="1:15" x14ac:dyDescent="0.35">
      <c r="A121" t="str">
        <v>Maquinaria Industrial</v>
      </c>
      <c r="M121">
        <v>7109</v>
      </c>
      <c r="O121" t="str">
        <v xml:space="preserve">NMAI2J06PL </v>
      </c>
    </row>
    <row r="122" spans="1:15" x14ac:dyDescent="0.35">
      <c r="A122" t="str">
        <v>Herramientas y Accesorios</v>
      </c>
      <c r="M122">
        <v>7110</v>
      </c>
      <c r="O122" t="str">
        <v xml:space="preserve">NMAI2J08ME </v>
      </c>
    </row>
    <row r="123" spans="1:15" x14ac:dyDescent="0.35">
      <c r="A123" t="str">
        <v>Muebles, Enseres</v>
      </c>
      <c r="M123">
        <v>7201</v>
      </c>
      <c r="O123" t="str">
        <v xml:space="preserve">NMAI2J11ME </v>
      </c>
    </row>
    <row r="124" spans="1:15" x14ac:dyDescent="0.35">
      <c r="A124" t="str">
        <v>Equipos y Maquinaria de Oficina</v>
      </c>
      <c r="M124">
        <v>7202</v>
      </c>
      <c r="O124" t="str">
        <v xml:space="preserve">NMAI2MCOMU </v>
      </c>
    </row>
    <row r="125" spans="1:15" x14ac:dyDescent="0.35">
      <c r="A125" t="str">
        <v>Muebles, Enseres</v>
      </c>
      <c r="M125">
        <v>7203</v>
      </c>
      <c r="O125" t="str">
        <v>NMAI500-M</v>
      </c>
    </row>
    <row r="126" spans="1:15" x14ac:dyDescent="0.35">
      <c r="A126" t="str">
        <v>Equipos y Maquinaria de Oficina</v>
      </c>
      <c r="M126">
        <v>7301</v>
      </c>
      <c r="O126" t="str">
        <v>NMAI500-O</v>
      </c>
    </row>
    <row r="127" spans="1:15" x14ac:dyDescent="0.35">
      <c r="A127" t="str">
        <v>Satelites y Antenas</v>
      </c>
      <c r="M127">
        <v>7302</v>
      </c>
      <c r="O127" t="str">
        <v>NMAI5ATR-1</v>
      </c>
    </row>
    <row r="128" spans="1:15" x14ac:dyDescent="0.35">
      <c r="A128" t="str">
        <v>Lineas Telefonicas</v>
      </c>
      <c r="M128">
        <v>7303</v>
      </c>
      <c r="O128" t="str">
        <v>NMAI5ATR-2</v>
      </c>
    </row>
    <row r="129" spans="1:15" x14ac:dyDescent="0.35">
      <c r="A129" t="str">
        <v>Equipo de Comunicacion</v>
      </c>
      <c r="M129">
        <v>7304</v>
      </c>
      <c r="O129" t="str">
        <v xml:space="preserve">NMAI5ATRR1 </v>
      </c>
    </row>
    <row r="130" spans="1:15" x14ac:dyDescent="0.35">
      <c r="A130" t="str">
        <v>Equipo de Comunicacion</v>
      </c>
      <c r="M130">
        <v>7305</v>
      </c>
      <c r="O130" t="str">
        <v xml:space="preserve">NMAI5BARRA </v>
      </c>
    </row>
    <row r="131" spans="1:15" x14ac:dyDescent="0.35">
      <c r="A131" t="str">
        <v>Satelites y Antenas</v>
      </c>
      <c r="M131">
        <v>7306</v>
      </c>
      <c r="O131" t="str">
        <v xml:space="preserve">NMAI5DIFBA </v>
      </c>
    </row>
    <row r="132" spans="1:15" x14ac:dyDescent="0.35">
      <c r="A132" t="str">
        <v>Vehiculos Terrestres</v>
      </c>
      <c r="M132">
        <v>7307</v>
      </c>
      <c r="O132" t="str">
        <v xml:space="preserve">NMAI5K01PT </v>
      </c>
    </row>
    <row r="133" spans="1:15" x14ac:dyDescent="0.35">
      <c r="A133" t="str">
        <v>Vehiculos Terrestres</v>
      </c>
      <c r="M133">
        <v>7308</v>
      </c>
      <c r="O133" t="str">
        <v xml:space="preserve">NMAI5K02ME </v>
      </c>
    </row>
    <row r="134" spans="1:15" x14ac:dyDescent="0.35">
      <c r="A134" t="str">
        <v>Estudios y Proyectos</v>
      </c>
      <c r="M134">
        <v>7309</v>
      </c>
      <c r="O134" t="str">
        <v xml:space="preserve">NMAI5K04PT </v>
      </c>
    </row>
    <row r="135" spans="1:15" x14ac:dyDescent="0.35">
      <c r="A135" t="str">
        <v>Servidumbres, en contrucción</v>
      </c>
      <c r="M135">
        <v>7401</v>
      </c>
      <c r="O135" t="str">
        <v xml:space="preserve">NMAI5K05ME </v>
      </c>
    </row>
    <row r="136" spans="1:15" x14ac:dyDescent="0.35">
      <c r="A136" t="str">
        <v>Concursos y Licitaciones</v>
      </c>
      <c r="M136">
        <v>7402</v>
      </c>
      <c r="O136" t="str">
        <v xml:space="preserve">NMAI5K07MC </v>
      </c>
    </row>
    <row r="137" spans="1:15" x14ac:dyDescent="0.35">
      <c r="A137" t="str">
        <v>Estudios y Proyectos Amortizables</v>
      </c>
      <c r="M137">
        <v>7403</v>
      </c>
      <c r="O137" t="str">
        <v xml:space="preserve">NMAI5K07PC </v>
      </c>
    </row>
    <row r="138" spans="1:15" x14ac:dyDescent="0.35">
      <c r="A138" t="str">
        <v>Dcto en bonos deuda publica interna LP</v>
      </c>
      <c r="M138">
        <v>7404</v>
      </c>
      <c r="O138" t="str">
        <v xml:space="preserve">NMAI5K07PL </v>
      </c>
    </row>
    <row r="139" spans="1:15" x14ac:dyDescent="0.35">
      <c r="A139" t="str">
        <v>Bienes Inmuebles en Comodato (Entregados)</v>
      </c>
      <c r="M139">
        <v>7405</v>
      </c>
      <c r="O139" t="str">
        <v xml:space="preserve">NMAI5K08ME </v>
      </c>
    </row>
    <row r="140" spans="1:15" x14ac:dyDescent="0.35">
      <c r="A140" t="str">
        <v>Bienes Muebles en Comodato (Entregados)</v>
      </c>
      <c r="M140">
        <v>7406</v>
      </c>
      <c r="O140" t="str">
        <v xml:space="preserve">NMAI5K09PL </v>
      </c>
    </row>
    <row r="141" spans="1:15" x14ac:dyDescent="0.35">
      <c r="A141" t="str">
        <v>Activos Entregados en Fiducia Mercantil</v>
      </c>
      <c r="M141">
        <v>7407</v>
      </c>
      <c r="O141" t="str">
        <v xml:space="preserve">NMAI5K0RR1 </v>
      </c>
    </row>
    <row r="142" spans="1:15" x14ac:dyDescent="0.35">
      <c r="A142" t="str">
        <v>Redes, lineas y Cables de Transmision (Leasing)</v>
      </c>
      <c r="M142">
        <v>7408</v>
      </c>
      <c r="O142" t="str">
        <v xml:space="preserve">NMAI5K10MC </v>
      </c>
    </row>
    <row r="143" spans="1:15" x14ac:dyDescent="0.35">
      <c r="A143" t="str">
        <v>Subestaciones (Leasing)</v>
      </c>
      <c r="M143">
        <v>8101</v>
      </c>
      <c r="O143" t="str">
        <v xml:space="preserve">NMAI5K10PC </v>
      </c>
    </row>
    <row r="144" spans="1:15" x14ac:dyDescent="0.35">
      <c r="A144" t="str">
        <v>Terrenos Rurales Leasing</v>
      </c>
      <c r="M144">
        <v>8102</v>
      </c>
      <c r="O144" t="str">
        <v xml:space="preserve">NMAI5K10PL </v>
      </c>
    </row>
    <row r="145" spans="1:15" x14ac:dyDescent="0.35">
      <c r="A145" t="str">
        <v>Edificios y Casas Leasing</v>
      </c>
      <c r="M145">
        <v>8103</v>
      </c>
      <c r="O145" t="str">
        <v xml:space="preserve">NMAI5K11ME </v>
      </c>
    </row>
    <row r="146" spans="1:15" x14ac:dyDescent="0.35">
      <c r="A146" t="str">
        <v>Intangibles - Software</v>
      </c>
      <c r="M146">
        <v>8104</v>
      </c>
      <c r="O146" t="str">
        <v xml:space="preserve">NMAI5K12PL </v>
      </c>
    </row>
    <row r="147" spans="1:15" x14ac:dyDescent="0.35">
      <c r="A147" t="str">
        <v>Intangibles - Software Especializado</v>
      </c>
      <c r="M147">
        <v>8105</v>
      </c>
      <c r="O147" t="str">
        <v xml:space="preserve">NMAI5MCOMU </v>
      </c>
    </row>
    <row r="148" spans="1:15" x14ac:dyDescent="0.35">
      <c r="A148" t="str">
        <v>IntaFngibles - Servidumbres</v>
      </c>
      <c r="M148">
        <v>8106</v>
      </c>
      <c r="O148" t="str">
        <v xml:space="preserve">NMANPA5001 </v>
      </c>
    </row>
    <row r="149" spans="1:15" x14ac:dyDescent="0.35">
      <c r="A149" t="str">
        <v>Intangibles - Licencias</v>
      </c>
      <c r="M149">
        <v>8107</v>
      </c>
      <c r="O149" t="str">
        <v xml:space="preserve">NMANPA5002 </v>
      </c>
    </row>
    <row r="150" spans="1:15" x14ac:dyDescent="0.35">
      <c r="A150" t="str">
        <v>Intangibles - Licencias</v>
      </c>
      <c r="M150">
        <v>8108</v>
      </c>
      <c r="O150" t="str">
        <v xml:space="preserve">NPAN0CONEX </v>
      </c>
    </row>
    <row r="151" spans="1:15" x14ac:dyDescent="0.35">
      <c r="A151" t="str">
        <v>Intangibles - Software</v>
      </c>
      <c r="M151">
        <v>8109</v>
      </c>
      <c r="O151" t="str">
        <v xml:space="preserve">NPAN0F01PT </v>
      </c>
    </row>
    <row r="152" spans="1:15" x14ac:dyDescent="0.35">
      <c r="A152" t="str">
        <v>Intangibles - Software Especializado</v>
      </c>
      <c r="M152">
        <v>8110</v>
      </c>
      <c r="O152" t="str">
        <v xml:space="preserve">NPAN0F02PT </v>
      </c>
    </row>
    <row r="153" spans="1:15" x14ac:dyDescent="0.35">
      <c r="A153" t="str">
        <v>Intangibles -Crédito mercantil</v>
      </c>
      <c r="M153">
        <v>8111</v>
      </c>
      <c r="O153" t="str">
        <v>NPAN220-M</v>
      </c>
    </row>
    <row r="154" spans="1:15" x14ac:dyDescent="0.35">
      <c r="A154" t="str">
        <v>Intangibles - Marcas</v>
      </c>
      <c r="M154">
        <v>8112</v>
      </c>
      <c r="O154" t="str">
        <v>NPAN220-O</v>
      </c>
    </row>
    <row r="155" spans="1:15" x14ac:dyDescent="0.35">
      <c r="A155" t="str">
        <v>Intangibles - Derechos</v>
      </c>
      <c r="M155">
        <v>8201</v>
      </c>
      <c r="O155" t="str">
        <v xml:space="preserve">NPAN2BARRA </v>
      </c>
    </row>
    <row r="156" spans="1:15" x14ac:dyDescent="0.35">
      <c r="A156" t="str">
        <v>Equipo de Computo de Bajo Valor</v>
      </c>
      <c r="M156">
        <v>8202</v>
      </c>
      <c r="O156" t="str">
        <v xml:space="preserve">NPAN2DIFBA </v>
      </c>
    </row>
    <row r="157" spans="1:15" x14ac:dyDescent="0.35">
      <c r="A157" t="str">
        <v>Muebles y Enseres de Bajo Valor</v>
      </c>
      <c r="M157">
        <v>8203</v>
      </c>
      <c r="O157" t="str">
        <v xml:space="preserve">NPAN2J01PT </v>
      </c>
    </row>
    <row r="158" spans="1:15" x14ac:dyDescent="0.35">
      <c r="A158" t="str">
        <v>Equipo de comunicacion de Bajo Valor</v>
      </c>
      <c r="M158">
        <v>8204</v>
      </c>
      <c r="O158" t="str">
        <v xml:space="preserve">NPAN2J02ME </v>
      </c>
    </row>
    <row r="159" spans="1:15" x14ac:dyDescent="0.35">
      <c r="A159" t="str">
        <v>Maquinaria y Equipo de Bajo Valor</v>
      </c>
      <c r="M159">
        <v>8205</v>
      </c>
      <c r="O159" t="str">
        <v xml:space="preserve">NPAN2J03PL </v>
      </c>
    </row>
    <row r="160" spans="1:15" x14ac:dyDescent="0.35">
      <c r="A160" t="str">
        <v>Plantas de Telecomunicaciones</v>
      </c>
      <c r="M160">
        <v>8206</v>
      </c>
      <c r="O160" t="str">
        <v xml:space="preserve">NPAN2J04PT </v>
      </c>
    </row>
    <row r="161" spans="1:15" x14ac:dyDescent="0.35">
      <c r="A161" t="str">
        <v>Plantas de Telecomunicaciones - ISA 15 años</v>
      </c>
      <c r="M161">
        <v>8207</v>
      </c>
      <c r="O161" t="str">
        <v xml:space="preserve">NPAN2J05ME </v>
      </c>
    </row>
    <row r="162" spans="1:15" x14ac:dyDescent="0.35">
      <c r="A162" t="str">
        <v>Plantas de Telecomunicaciones - ISA 10 años</v>
      </c>
      <c r="M162">
        <v>8301</v>
      </c>
      <c r="O162" t="str">
        <v xml:space="preserve">NPAN2J06PL </v>
      </c>
    </row>
    <row r="163" spans="1:15" x14ac:dyDescent="0.35">
      <c r="A163" t="str">
        <v>Equipo de Computo</v>
      </c>
      <c r="M163">
        <v>8302</v>
      </c>
      <c r="O163" t="str">
        <v xml:space="preserve">NPAN2J08ME </v>
      </c>
    </row>
    <row r="164" spans="1:15" x14ac:dyDescent="0.35">
      <c r="A164" t="str">
        <v>Equipo de Computo</v>
      </c>
      <c r="M164">
        <v>8303</v>
      </c>
      <c r="O164" t="str">
        <v xml:space="preserve">NPAN2J11ME </v>
      </c>
    </row>
    <row r="165" spans="1:15" x14ac:dyDescent="0.35">
      <c r="A165" t="str">
        <v>Equipo del Centro de Control</v>
      </c>
      <c r="M165">
        <v>8304</v>
      </c>
      <c r="O165" t="str">
        <v xml:space="preserve">NPAN2J14ME </v>
      </c>
    </row>
    <row r="166" spans="1:15" x14ac:dyDescent="0.35">
      <c r="A166" t="str">
        <v>Equipo del Centro de Control</v>
      </c>
      <c r="M166">
        <v>8305</v>
      </c>
      <c r="O166" t="str">
        <v xml:space="preserve">NPAN2MCOMU </v>
      </c>
    </row>
    <row r="167" spans="1:15" x14ac:dyDescent="0.35">
      <c r="A167" t="str">
        <v>Ajus Infl Estudios y Proyectos en Desarrollo</v>
      </c>
      <c r="M167">
        <v>8306</v>
      </c>
      <c r="O167" t="str">
        <v>NPAN500-M</v>
      </c>
    </row>
    <row r="168" spans="1:15" x14ac:dyDescent="0.35">
      <c r="A168" t="str">
        <v>Obras y Mejoras en Propiedad Ajena Edificios</v>
      </c>
      <c r="M168">
        <v>8307</v>
      </c>
      <c r="O168" t="str">
        <v>NPAN500-O</v>
      </c>
    </row>
    <row r="169" spans="1:15" x14ac:dyDescent="0.35">
      <c r="A169" t="str">
        <v>Equipos de Laboratorio para Subestaciones</v>
      </c>
      <c r="M169">
        <v>8308</v>
      </c>
      <c r="O169" t="str">
        <v>NPAN5ATR-1</v>
      </c>
    </row>
    <row r="170" spans="1:15" x14ac:dyDescent="0.35">
      <c r="A170" t="str">
        <v>Equipos de Laboratorio para Subestaciones</v>
      </c>
      <c r="M170">
        <v>8309</v>
      </c>
      <c r="O170" t="str">
        <v>NPAN5ATR-2</v>
      </c>
    </row>
    <row r="171" spans="1:15" x14ac:dyDescent="0.35">
      <c r="A171" t="str">
        <v>Construcciones en Proceso Inventario (CD) AM</v>
      </c>
      <c r="M171">
        <v>8310</v>
      </c>
      <c r="O171" t="str">
        <v xml:space="preserve">NPAN5ATRR1 </v>
      </c>
    </row>
    <row r="172" spans="1:15" x14ac:dyDescent="0.35">
      <c r="A172" t="str">
        <v>Construcciones en Proceso Inventario (CD) PS</v>
      </c>
      <c r="M172">
        <v>8311</v>
      </c>
      <c r="O172" t="str">
        <v xml:space="preserve">NPAN5BARRA </v>
      </c>
    </row>
    <row r="173" spans="1:15" x14ac:dyDescent="0.35">
      <c r="A173" t="str">
        <v>Construcciones en Proceso Inventario (GACD) PS</v>
      </c>
      <c r="M173">
        <v>8312</v>
      </c>
      <c r="O173" t="str">
        <v xml:space="preserve">NPAN5DIFBA </v>
      </c>
    </row>
    <row r="174" spans="1:15" x14ac:dyDescent="0.35">
      <c r="A174" t="str">
        <v>Construcciones en Proceso Inventario (Int) PS</v>
      </c>
      <c r="M174">
        <v>8313</v>
      </c>
      <c r="O174" t="str">
        <v xml:space="preserve">NPAN5K01PT </v>
      </c>
    </row>
    <row r="175" spans="1:15" x14ac:dyDescent="0.35">
      <c r="A175" t="str">
        <v>Construcciones en Proceso Inventario (Com) PS</v>
      </c>
      <c r="M175">
        <v>8314</v>
      </c>
      <c r="O175" t="str">
        <v xml:space="preserve">NPAN5K02ME </v>
      </c>
    </row>
    <row r="176" spans="1:15" x14ac:dyDescent="0.35">
      <c r="A176" t="str">
        <v>Construcciones en Proceso Inventario (DC) PS</v>
      </c>
      <c r="M176">
        <v>8401</v>
      </c>
      <c r="O176" t="str">
        <v xml:space="preserve">NPAN5K03MC </v>
      </c>
    </row>
    <row r="177" spans="1:15" x14ac:dyDescent="0.35">
      <c r="A177" t="str">
        <v>Participación Ciudadana (acciones)</v>
      </c>
      <c r="M177">
        <v>8402</v>
      </c>
      <c r="O177" t="str">
        <v xml:space="preserve">NPAN5K03PC </v>
      </c>
    </row>
    <row r="178" spans="1:15" x14ac:dyDescent="0.35">
      <c r="A178" t="str">
        <v>Participación Ciudadana (acciones) Amortizable</v>
      </c>
      <c r="M178">
        <v>8403</v>
      </c>
      <c r="O178" t="str">
        <v xml:space="preserve">NPAN5K04PT </v>
      </c>
    </row>
    <row r="179" spans="1:15" x14ac:dyDescent="0.35">
      <c r="A179" t="str">
        <v>Gasto Diferido Serv. Telemáticos</v>
      </c>
      <c r="M179">
        <v>8404</v>
      </c>
      <c r="O179" t="str">
        <v xml:space="preserve">NPAN5K05ME </v>
      </c>
    </row>
    <row r="180" spans="1:15" x14ac:dyDescent="0.35">
      <c r="A180" t="str">
        <v>Equipo de Computo Arrendado</v>
      </c>
      <c r="M180">
        <v>8405</v>
      </c>
      <c r="O180" t="str">
        <v xml:space="preserve">NPAN5K06MC </v>
      </c>
    </row>
    <row r="181" spans="1:15" x14ac:dyDescent="0.35">
      <c r="A181" t="str">
        <v>Arrend Financ Equi Instal Subest_Biens</v>
      </c>
      <c r="M181">
        <v>8406</v>
      </c>
      <c r="O181" t="str">
        <v xml:space="preserve">NPAN5K06PC </v>
      </c>
    </row>
    <row r="182" spans="1:15" x14ac:dyDescent="0.35">
      <c r="M182">
        <v>8407</v>
      </c>
      <c r="O182" t="str">
        <v xml:space="preserve">NPAN5K07CS </v>
      </c>
    </row>
    <row r="183" spans="1:15" x14ac:dyDescent="0.35">
      <c r="M183">
        <v>8408</v>
      </c>
      <c r="O183" t="str">
        <v xml:space="preserve">NPAN5K07MC </v>
      </c>
    </row>
    <row r="184" spans="1:15" x14ac:dyDescent="0.35">
      <c r="M184">
        <v>8409</v>
      </c>
      <c r="O184" t="str">
        <v xml:space="preserve">NPAN5K07PC </v>
      </c>
    </row>
    <row r="185" spans="1:15" x14ac:dyDescent="0.35">
      <c r="M185">
        <v>8410</v>
      </c>
      <c r="O185" t="str">
        <v xml:space="preserve">NPAN5K07PL </v>
      </c>
    </row>
    <row r="186" spans="1:15" x14ac:dyDescent="0.35">
      <c r="M186">
        <v>8411</v>
      </c>
      <c r="O186" t="str">
        <v xml:space="preserve">NPAN5K08ME </v>
      </c>
    </row>
    <row r="187" spans="1:15" x14ac:dyDescent="0.35">
      <c r="M187">
        <v>8412</v>
      </c>
      <c r="O187" t="str">
        <v xml:space="preserve">NPAN5K09CS </v>
      </c>
    </row>
    <row r="188" spans="1:15" x14ac:dyDescent="0.35">
      <c r="M188">
        <v>8413</v>
      </c>
      <c r="O188" t="str">
        <v xml:space="preserve">NPAN5K09MC </v>
      </c>
    </row>
    <row r="189" spans="1:15" x14ac:dyDescent="0.35">
      <c r="M189">
        <v>8414</v>
      </c>
      <c r="O189" t="str">
        <v xml:space="preserve">NPAN5K09PC </v>
      </c>
    </row>
    <row r="190" spans="1:15" x14ac:dyDescent="0.35">
      <c r="M190">
        <v>8415</v>
      </c>
      <c r="O190" t="str">
        <v xml:space="preserve">NPAN5K09PL </v>
      </c>
    </row>
    <row r="191" spans="1:15" x14ac:dyDescent="0.35">
      <c r="M191">
        <v>8416</v>
      </c>
      <c r="O191" t="str">
        <v xml:space="preserve">NPAN5K0RR1 </v>
      </c>
    </row>
    <row r="192" spans="1:15" x14ac:dyDescent="0.35">
      <c r="M192">
        <v>8417</v>
      </c>
      <c r="O192" t="str">
        <v xml:space="preserve">NPAN5K0RR2 </v>
      </c>
    </row>
    <row r="193" spans="13:15" x14ac:dyDescent="0.35">
      <c r="M193">
        <v>8418</v>
      </c>
      <c r="O193" t="str">
        <v xml:space="preserve">NPAN5K10CS </v>
      </c>
    </row>
    <row r="194" spans="13:15" x14ac:dyDescent="0.35">
      <c r="M194">
        <v>8419</v>
      </c>
      <c r="O194" t="str">
        <v xml:space="preserve">NPAN5K10MC </v>
      </c>
    </row>
    <row r="195" spans="13:15" x14ac:dyDescent="0.35">
      <c r="M195">
        <v>8420</v>
      </c>
      <c r="O195" t="str">
        <v xml:space="preserve">NPAN5K10PC </v>
      </c>
    </row>
    <row r="196" spans="13:15" x14ac:dyDescent="0.35">
      <c r="M196">
        <v>8421</v>
      </c>
      <c r="O196" t="str">
        <v xml:space="preserve">NPAN5K10PL </v>
      </c>
    </row>
    <row r="197" spans="13:15" x14ac:dyDescent="0.35">
      <c r="M197">
        <v>9101</v>
      </c>
      <c r="O197" t="str">
        <v xml:space="preserve">NPAN5K11ME </v>
      </c>
    </row>
    <row r="198" spans="13:15" x14ac:dyDescent="0.35">
      <c r="M198">
        <v>9102</v>
      </c>
      <c r="O198" t="str">
        <v xml:space="preserve">NPAN5K12CS </v>
      </c>
    </row>
    <row r="199" spans="13:15" x14ac:dyDescent="0.35">
      <c r="M199">
        <v>9103</v>
      </c>
      <c r="O199" t="str">
        <v xml:space="preserve">NPAN5K12MC </v>
      </c>
    </row>
    <row r="200" spans="13:15" x14ac:dyDescent="0.35">
      <c r="M200">
        <v>9104</v>
      </c>
      <c r="O200" t="str">
        <v xml:space="preserve">NPAN5K12PC </v>
      </c>
    </row>
    <row r="201" spans="13:15" x14ac:dyDescent="0.35">
      <c r="M201">
        <v>9105</v>
      </c>
      <c r="O201" t="str">
        <v xml:space="preserve">NPAN5K12PL </v>
      </c>
    </row>
    <row r="202" spans="13:15" x14ac:dyDescent="0.35">
      <c r="M202">
        <v>9106</v>
      </c>
      <c r="O202" t="str">
        <v xml:space="preserve">NPAN5MCOMU </v>
      </c>
    </row>
    <row r="203" spans="13:15" x14ac:dyDescent="0.35">
      <c r="M203">
        <v>9107</v>
      </c>
      <c r="O203" t="str">
        <v xml:space="preserve">NPAN5TRAFR </v>
      </c>
    </row>
    <row r="204" spans="13:15" x14ac:dyDescent="0.35">
      <c r="M204">
        <v>9108</v>
      </c>
      <c r="O204" t="str">
        <v xml:space="preserve">NPAPAZ2201 </v>
      </c>
    </row>
    <row r="205" spans="13:15" x14ac:dyDescent="0.35">
      <c r="M205">
        <v>9109</v>
      </c>
      <c r="O205" t="str">
        <v xml:space="preserve">NPAPAZ2202 </v>
      </c>
    </row>
    <row r="206" spans="13:15" x14ac:dyDescent="0.35">
      <c r="M206">
        <v>9110</v>
      </c>
      <c r="O206" t="str">
        <v xml:space="preserve">NPAPOL5001 </v>
      </c>
    </row>
    <row r="207" spans="13:15" x14ac:dyDescent="0.35">
      <c r="M207">
        <v>9111</v>
      </c>
      <c r="O207" t="str">
        <v xml:space="preserve">NPAPOL5002 </v>
      </c>
    </row>
    <row r="208" spans="13:15" x14ac:dyDescent="0.35">
      <c r="M208">
        <v>9112</v>
      </c>
      <c r="O208" t="str">
        <v>PAZU220-M</v>
      </c>
    </row>
    <row r="209" spans="13:15" x14ac:dyDescent="0.35">
      <c r="M209">
        <v>9113</v>
      </c>
      <c r="O209" t="str">
        <v>PAZU220-O</v>
      </c>
    </row>
    <row r="210" spans="13:15" x14ac:dyDescent="0.35">
      <c r="M210">
        <v>9114</v>
      </c>
      <c r="O210" t="str">
        <v xml:space="preserve">PAZU2J08PL </v>
      </c>
    </row>
    <row r="211" spans="13:15" x14ac:dyDescent="0.35">
      <c r="M211">
        <v>9115</v>
      </c>
      <c r="O211" t="str">
        <v xml:space="preserve">PAZU2J09PL </v>
      </c>
    </row>
    <row r="212" spans="13:15" x14ac:dyDescent="0.35">
      <c r="M212">
        <v>9116</v>
      </c>
      <c r="O212" t="str">
        <v xml:space="preserve">PAZU2MCOMU </v>
      </c>
    </row>
    <row r="213" spans="13:15" x14ac:dyDescent="0.35">
      <c r="M213">
        <v>9117</v>
      </c>
      <c r="O213" t="str">
        <v>POLP500-M</v>
      </c>
    </row>
    <row r="214" spans="13:15" x14ac:dyDescent="0.35">
      <c r="M214">
        <v>9118</v>
      </c>
      <c r="O214" t="str">
        <v>POLP500-O</v>
      </c>
    </row>
    <row r="215" spans="13:15" x14ac:dyDescent="0.35">
      <c r="M215">
        <v>9119</v>
      </c>
      <c r="O215" t="str">
        <v xml:space="preserve">POLP5D03CS </v>
      </c>
    </row>
    <row r="216" spans="13:15" x14ac:dyDescent="0.35">
      <c r="M216">
        <v>9120</v>
      </c>
      <c r="O216" t="str">
        <v xml:space="preserve">POLP5D04CS </v>
      </c>
    </row>
    <row r="217" spans="13:15" x14ac:dyDescent="0.35">
      <c r="M217">
        <v>9121</v>
      </c>
      <c r="O217" t="str">
        <v xml:space="preserve">POLP5K03CS </v>
      </c>
    </row>
    <row r="218" spans="13:15" x14ac:dyDescent="0.35">
      <c r="M218">
        <v>9201</v>
      </c>
      <c r="O218" t="str">
        <v xml:space="preserve">POLP5K03MC </v>
      </c>
    </row>
    <row r="219" spans="13:15" x14ac:dyDescent="0.35">
      <c r="M219">
        <v>9202</v>
      </c>
      <c r="O219" t="str">
        <v xml:space="preserve">POLP5K03PC </v>
      </c>
    </row>
    <row r="220" spans="13:15" x14ac:dyDescent="0.35">
      <c r="M220">
        <v>9203</v>
      </c>
      <c r="O220" t="str">
        <v xml:space="preserve">POLP5K03PL </v>
      </c>
    </row>
    <row r="221" spans="13:15" x14ac:dyDescent="0.35">
      <c r="M221">
        <v>9204</v>
      </c>
      <c r="O221" t="str">
        <v xml:space="preserve">POLP5K04CS </v>
      </c>
    </row>
    <row r="222" spans="13:15" x14ac:dyDescent="0.35">
      <c r="M222">
        <v>9205</v>
      </c>
      <c r="O222" t="str">
        <v xml:space="preserve">POLP5K04MC </v>
      </c>
    </row>
    <row r="223" spans="13:15" x14ac:dyDescent="0.35">
      <c r="M223">
        <v>9206</v>
      </c>
      <c r="O223" t="str">
        <v xml:space="preserve">POLP5K04PC </v>
      </c>
    </row>
    <row r="224" spans="13:15" x14ac:dyDescent="0.35">
      <c r="M224">
        <v>9207</v>
      </c>
      <c r="O224" t="str">
        <v xml:space="preserve">POLP5K04PL </v>
      </c>
    </row>
    <row r="225" spans="13:15" x14ac:dyDescent="0.35">
      <c r="M225">
        <v>9208</v>
      </c>
      <c r="O225" t="str">
        <v xml:space="preserve">POLP5K0RR1 </v>
      </c>
    </row>
    <row r="226" spans="13:15" x14ac:dyDescent="0.35">
      <c r="M226">
        <v>9209</v>
      </c>
      <c r="O226" t="str">
        <v xml:space="preserve">POLP5MCOMU </v>
      </c>
    </row>
    <row r="227" spans="13:15" x14ac:dyDescent="0.35">
      <c r="M227">
        <v>9210</v>
      </c>
    </row>
    <row r="228" spans="13:15" x14ac:dyDescent="0.35">
      <c r="M228">
        <v>9211</v>
      </c>
    </row>
    <row r="229" spans="13:15" x14ac:dyDescent="0.35">
      <c r="M229">
        <v>10101</v>
      </c>
    </row>
    <row r="230" spans="13:15" x14ac:dyDescent="0.35">
      <c r="M230">
        <v>10102</v>
      </c>
    </row>
    <row r="231" spans="13:15" x14ac:dyDescent="0.35">
      <c r="M231">
        <v>10103</v>
      </c>
    </row>
    <row r="232" spans="13:15" x14ac:dyDescent="0.35">
      <c r="M232">
        <v>10104</v>
      </c>
    </row>
    <row r="233" spans="13:15" x14ac:dyDescent="0.35">
      <c r="M233">
        <v>10105</v>
      </c>
    </row>
    <row r="234" spans="13:15" x14ac:dyDescent="0.35">
      <c r="M234">
        <v>10106</v>
      </c>
    </row>
    <row r="235" spans="13:15" x14ac:dyDescent="0.35">
      <c r="M235">
        <v>10107</v>
      </c>
    </row>
    <row r="236" spans="13:15" x14ac:dyDescent="0.35">
      <c r="M236">
        <v>10108</v>
      </c>
    </row>
    <row r="237" spans="13:15" x14ac:dyDescent="0.35">
      <c r="M237">
        <v>10109</v>
      </c>
    </row>
    <row r="238" spans="13:15" x14ac:dyDescent="0.35">
      <c r="M238">
        <v>10201</v>
      </c>
    </row>
    <row r="239" spans="13:15" x14ac:dyDescent="0.35">
      <c r="M239">
        <v>10202</v>
      </c>
    </row>
    <row r="240" spans="13:15" x14ac:dyDescent="0.35">
      <c r="M240">
        <v>10203</v>
      </c>
    </row>
    <row r="241" spans="13:13" x14ac:dyDescent="0.35">
      <c r="M241">
        <v>10204</v>
      </c>
    </row>
    <row r="242" spans="13:13" x14ac:dyDescent="0.35">
      <c r="M242">
        <v>10205</v>
      </c>
    </row>
    <row r="243" spans="13:13" x14ac:dyDescent="0.35">
      <c r="M243">
        <v>10206</v>
      </c>
    </row>
    <row r="244" spans="13:13" x14ac:dyDescent="0.35">
      <c r="M244">
        <v>10207</v>
      </c>
    </row>
    <row r="245" spans="13:13" x14ac:dyDescent="0.35">
      <c r="M245">
        <v>10208</v>
      </c>
    </row>
    <row r="246" spans="13:13" x14ac:dyDescent="0.35">
      <c r="M246">
        <v>10209</v>
      </c>
    </row>
    <row r="247" spans="13:13" x14ac:dyDescent="0.35">
      <c r="M247">
        <v>10210</v>
      </c>
    </row>
    <row r="248" spans="13:13" x14ac:dyDescent="0.35">
      <c r="M248">
        <v>10301</v>
      </c>
    </row>
    <row r="249" spans="13:13" x14ac:dyDescent="0.35">
      <c r="M249">
        <v>10302</v>
      </c>
    </row>
    <row r="250" spans="13:13" x14ac:dyDescent="0.35">
      <c r="M250">
        <v>10303</v>
      </c>
    </row>
    <row r="251" spans="13:13" x14ac:dyDescent="0.35">
      <c r="M251">
        <v>10304</v>
      </c>
    </row>
    <row r="252" spans="13:13" x14ac:dyDescent="0.35">
      <c r="M252">
        <v>10305</v>
      </c>
    </row>
    <row r="253" spans="13:13" x14ac:dyDescent="0.35">
      <c r="M253">
        <v>10306</v>
      </c>
    </row>
    <row r="254" spans="13:13" x14ac:dyDescent="0.35">
      <c r="M254">
        <v>10307</v>
      </c>
    </row>
    <row r="255" spans="13:13" x14ac:dyDescent="0.35">
      <c r="M255">
        <v>10401</v>
      </c>
    </row>
    <row r="256" spans="13:13" x14ac:dyDescent="0.35">
      <c r="M256">
        <v>10402</v>
      </c>
    </row>
    <row r="257" spans="13:13" x14ac:dyDescent="0.35">
      <c r="M257">
        <v>10403</v>
      </c>
    </row>
    <row r="258" spans="13:13" x14ac:dyDescent="0.35">
      <c r="M258">
        <v>10404</v>
      </c>
    </row>
    <row r="259" spans="13:13" x14ac:dyDescent="0.35">
      <c r="M259">
        <v>11101</v>
      </c>
    </row>
    <row r="260" spans="13:13" x14ac:dyDescent="0.35">
      <c r="M260">
        <v>11102</v>
      </c>
    </row>
    <row r="261" spans="13:13" x14ac:dyDescent="0.35">
      <c r="M261">
        <v>11201</v>
      </c>
    </row>
    <row r="262" spans="13:13" x14ac:dyDescent="0.35">
      <c r="M262">
        <v>11202</v>
      </c>
    </row>
    <row r="263" spans="13:13" x14ac:dyDescent="0.35">
      <c r="M263">
        <v>11203</v>
      </c>
    </row>
    <row r="264" spans="13:13" x14ac:dyDescent="0.35">
      <c r="M264">
        <v>11301</v>
      </c>
    </row>
    <row r="265" spans="13:13" x14ac:dyDescent="0.35">
      <c r="M265">
        <v>11302</v>
      </c>
    </row>
    <row r="266" spans="13:13" x14ac:dyDescent="0.35">
      <c r="M266">
        <v>11303</v>
      </c>
    </row>
    <row r="267" spans="13:13" x14ac:dyDescent="0.35">
      <c r="M267">
        <v>11401</v>
      </c>
    </row>
    <row r="268" spans="13:13" x14ac:dyDescent="0.35">
      <c r="M268">
        <v>11402</v>
      </c>
    </row>
    <row r="269" spans="13:13" x14ac:dyDescent="0.35">
      <c r="M269">
        <v>12101</v>
      </c>
    </row>
    <row r="270" spans="13:13" x14ac:dyDescent="0.35">
      <c r="M270">
        <v>12102</v>
      </c>
    </row>
    <row r="271" spans="13:13" x14ac:dyDescent="0.35">
      <c r="M271">
        <v>12103</v>
      </c>
    </row>
    <row r="272" spans="13:13" x14ac:dyDescent="0.35">
      <c r="M272">
        <v>12104</v>
      </c>
    </row>
    <row r="273" spans="13:13" x14ac:dyDescent="0.35">
      <c r="M273">
        <v>12201</v>
      </c>
    </row>
    <row r="274" spans="13:13" x14ac:dyDescent="0.35">
      <c r="M274">
        <v>12202</v>
      </c>
    </row>
    <row r="275" spans="13:13" x14ac:dyDescent="0.35">
      <c r="M275">
        <v>12301</v>
      </c>
    </row>
    <row r="276" spans="13:13" x14ac:dyDescent="0.35">
      <c r="M276">
        <v>12302</v>
      </c>
    </row>
    <row r="277" spans="13:13" x14ac:dyDescent="0.35">
      <c r="M277">
        <v>12303</v>
      </c>
    </row>
    <row r="278" spans="13:13" x14ac:dyDescent="0.35">
      <c r="M278">
        <v>12401</v>
      </c>
    </row>
    <row r="279" spans="13:13" x14ac:dyDescent="0.35">
      <c r="M279">
        <v>12402</v>
      </c>
    </row>
    <row r="280" spans="13:13" x14ac:dyDescent="0.35">
      <c r="M280">
        <v>13101</v>
      </c>
    </row>
    <row r="281" spans="13:13" x14ac:dyDescent="0.35">
      <c r="M281">
        <v>13102</v>
      </c>
    </row>
    <row r="282" spans="13:13" x14ac:dyDescent="0.35">
      <c r="M282">
        <v>13103</v>
      </c>
    </row>
    <row r="283" spans="13:13" x14ac:dyDescent="0.35">
      <c r="M283">
        <v>13104</v>
      </c>
    </row>
    <row r="284" spans="13:13" x14ac:dyDescent="0.35">
      <c r="M284">
        <v>13105</v>
      </c>
    </row>
    <row r="285" spans="13:13" x14ac:dyDescent="0.35">
      <c r="M285">
        <v>13106</v>
      </c>
    </row>
    <row r="286" spans="13:13" x14ac:dyDescent="0.35">
      <c r="M286">
        <v>13107</v>
      </c>
    </row>
    <row r="287" spans="13:13" x14ac:dyDescent="0.35">
      <c r="M287">
        <v>13108</v>
      </c>
    </row>
    <row r="288" spans="13:13" x14ac:dyDescent="0.35">
      <c r="M288">
        <v>13109</v>
      </c>
    </row>
    <row r="289" spans="13:13" x14ac:dyDescent="0.35">
      <c r="M289">
        <v>13110</v>
      </c>
    </row>
    <row r="290" spans="13:13" x14ac:dyDescent="0.35">
      <c r="M290">
        <v>13111</v>
      </c>
    </row>
    <row r="291" spans="13:13" x14ac:dyDescent="0.35">
      <c r="M291">
        <v>13112</v>
      </c>
    </row>
    <row r="292" spans="13:13" x14ac:dyDescent="0.35">
      <c r="M292">
        <v>13113</v>
      </c>
    </row>
    <row r="293" spans="13:13" x14ac:dyDescent="0.35">
      <c r="M293">
        <v>13114</v>
      </c>
    </row>
    <row r="294" spans="13:13" x14ac:dyDescent="0.35">
      <c r="M294">
        <v>13115</v>
      </c>
    </row>
    <row r="295" spans="13:13" x14ac:dyDescent="0.35">
      <c r="M295">
        <v>13116</v>
      </c>
    </row>
    <row r="296" spans="13:13" x14ac:dyDescent="0.35">
      <c r="M296">
        <v>13117</v>
      </c>
    </row>
    <row r="297" spans="13:13" x14ac:dyDescent="0.35">
      <c r="M297">
        <v>13118</v>
      </c>
    </row>
    <row r="298" spans="13:13" x14ac:dyDescent="0.35">
      <c r="M298">
        <v>13119</v>
      </c>
    </row>
    <row r="299" spans="13:13" x14ac:dyDescent="0.35">
      <c r="M299">
        <v>13121</v>
      </c>
    </row>
    <row r="300" spans="13:13" x14ac:dyDescent="0.35">
      <c r="M300">
        <v>13122</v>
      </c>
    </row>
    <row r="301" spans="13:13" x14ac:dyDescent="0.35">
      <c r="M301">
        <v>13123</v>
      </c>
    </row>
    <row r="302" spans="13:13" x14ac:dyDescent="0.35">
      <c r="M302">
        <v>13124</v>
      </c>
    </row>
    <row r="303" spans="13:13" x14ac:dyDescent="0.35">
      <c r="M303">
        <v>13125</v>
      </c>
    </row>
    <row r="304" spans="13:13" x14ac:dyDescent="0.35">
      <c r="M304">
        <v>13126</v>
      </c>
    </row>
    <row r="305" spans="13:13" x14ac:dyDescent="0.35">
      <c r="M305">
        <v>13127</v>
      </c>
    </row>
    <row r="306" spans="13:13" x14ac:dyDescent="0.35">
      <c r="M306">
        <v>13128</v>
      </c>
    </row>
    <row r="307" spans="13:13" x14ac:dyDescent="0.35">
      <c r="M307">
        <v>13129</v>
      </c>
    </row>
    <row r="308" spans="13:13" x14ac:dyDescent="0.35">
      <c r="M308">
        <v>13130</v>
      </c>
    </row>
    <row r="309" spans="13:13" x14ac:dyDescent="0.35">
      <c r="M309">
        <v>13131</v>
      </c>
    </row>
    <row r="310" spans="13:13" x14ac:dyDescent="0.35">
      <c r="M310">
        <v>13132</v>
      </c>
    </row>
    <row r="311" spans="13:13" x14ac:dyDescent="0.35">
      <c r="M311">
        <v>13201</v>
      </c>
    </row>
    <row r="312" spans="13:13" x14ac:dyDescent="0.35">
      <c r="M312">
        <v>13202</v>
      </c>
    </row>
    <row r="313" spans="13:13" x14ac:dyDescent="0.35">
      <c r="M313">
        <v>13203</v>
      </c>
    </row>
    <row r="314" spans="13:13" x14ac:dyDescent="0.35">
      <c r="M314">
        <v>13301</v>
      </c>
    </row>
    <row r="315" spans="13:13" x14ac:dyDescent="0.35">
      <c r="M315">
        <v>13302</v>
      </c>
    </row>
    <row r="316" spans="13:13" x14ac:dyDescent="0.35">
      <c r="M316">
        <v>13303</v>
      </c>
    </row>
    <row r="317" spans="13:13" x14ac:dyDescent="0.35">
      <c r="M317">
        <v>13401</v>
      </c>
    </row>
    <row r="318" spans="13:13" x14ac:dyDescent="0.35">
      <c r="M318">
        <v>13402</v>
      </c>
    </row>
    <row r="319" spans="13:13" x14ac:dyDescent="0.35">
      <c r="M319">
        <v>13403</v>
      </c>
    </row>
    <row r="320" spans="13:13" x14ac:dyDescent="0.35">
      <c r="M320">
        <v>13404</v>
      </c>
    </row>
    <row r="321" spans="13:13" x14ac:dyDescent="0.35">
      <c r="M321">
        <v>13501</v>
      </c>
    </row>
    <row r="322" spans="13:13" x14ac:dyDescent="0.35">
      <c r="M322">
        <v>13502</v>
      </c>
    </row>
    <row r="323" spans="13:13" x14ac:dyDescent="0.35">
      <c r="M323">
        <v>13503</v>
      </c>
    </row>
    <row r="324" spans="13:13" x14ac:dyDescent="0.35">
      <c r="M324">
        <v>13504</v>
      </c>
    </row>
    <row r="325" spans="13:13" x14ac:dyDescent="0.35">
      <c r="M325">
        <v>13505</v>
      </c>
    </row>
    <row r="326" spans="13:13" x14ac:dyDescent="0.35">
      <c r="M326">
        <v>13601</v>
      </c>
    </row>
    <row r="327" spans="13:13" x14ac:dyDescent="0.35">
      <c r="M327">
        <v>13602</v>
      </c>
    </row>
    <row r="328" spans="13:13" x14ac:dyDescent="0.35">
      <c r="M328">
        <v>13603</v>
      </c>
    </row>
    <row r="329" spans="13:13" x14ac:dyDescent="0.35">
      <c r="M329">
        <v>13604</v>
      </c>
    </row>
    <row r="330" spans="13:13" x14ac:dyDescent="0.35">
      <c r="M330">
        <v>13605</v>
      </c>
    </row>
    <row r="331" spans="13:13" x14ac:dyDescent="0.35">
      <c r="M331">
        <v>14101</v>
      </c>
    </row>
    <row r="332" spans="13:13" x14ac:dyDescent="0.35">
      <c r="M332">
        <v>14102</v>
      </c>
    </row>
    <row r="333" spans="13:13" x14ac:dyDescent="0.35">
      <c r="M333">
        <v>14103</v>
      </c>
    </row>
    <row r="334" spans="13:13" x14ac:dyDescent="0.35">
      <c r="M334">
        <v>14104</v>
      </c>
    </row>
    <row r="335" spans="13:13" x14ac:dyDescent="0.35">
      <c r="M335">
        <v>14105</v>
      </c>
    </row>
    <row r="336" spans="13:13" x14ac:dyDescent="0.35">
      <c r="M336">
        <v>14106</v>
      </c>
    </row>
    <row r="337" spans="13:13" x14ac:dyDescent="0.35">
      <c r="M337">
        <v>14107</v>
      </c>
    </row>
    <row r="338" spans="13:13" x14ac:dyDescent="0.35">
      <c r="M338">
        <v>14108</v>
      </c>
    </row>
    <row r="339" spans="13:13" x14ac:dyDescent="0.35">
      <c r="M339">
        <v>14201</v>
      </c>
    </row>
    <row r="340" spans="13:13" x14ac:dyDescent="0.35">
      <c r="M340">
        <v>14202</v>
      </c>
    </row>
    <row r="341" spans="13:13" x14ac:dyDescent="0.35">
      <c r="M341">
        <v>14203</v>
      </c>
    </row>
    <row r="342" spans="13:13" x14ac:dyDescent="0.35">
      <c r="M342">
        <v>14204</v>
      </c>
    </row>
    <row r="343" spans="13:13" x14ac:dyDescent="0.35">
      <c r="M343">
        <v>15101</v>
      </c>
    </row>
    <row r="344" spans="13:13" x14ac:dyDescent="0.35">
      <c r="M344">
        <v>15102</v>
      </c>
    </row>
    <row r="345" spans="13:13" x14ac:dyDescent="0.35">
      <c r="M345">
        <v>15201</v>
      </c>
    </row>
    <row r="346" spans="13:13" x14ac:dyDescent="0.35">
      <c r="M346">
        <v>15202</v>
      </c>
    </row>
  </sheetData>
  <pageMargins left="0.7" right="0.7" top="0.75" bottom="0.75" header="0.3" footer="0.3"/>
  <headerFooter>
    <oddFooter>&amp;L_x000D_&amp;1#&amp;"Aptos"&amp;14&amp;K000000 Información Interna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55345-B343-0945-B0C2-4802FA968FB1}">
  <sheetPr codeName="Sheet7">
    <tabColor theme="4" tint="0.59999389629810485"/>
  </sheetPr>
  <dimension ref="A1:Z23"/>
  <sheetViews>
    <sheetView workbookViewId="0">
      <selection activeCell="A31" sqref="A31"/>
    </sheetView>
  </sheetViews>
  <sheetFormatPr baseColWidth="10" defaultColWidth="11.453125" defaultRowHeight="14.5" x14ac:dyDescent="0.35"/>
  <cols>
    <col min="1" max="1" width="102.1796875" bestFit="1" customWidth="1"/>
  </cols>
  <sheetData>
    <row r="1" spans="1:26" ht="17" x14ac:dyDescent="0.4">
      <c r="A1" s="14" t="s">
        <v>1430</v>
      </c>
      <c r="Z1" s="24" t="s">
        <v>1431</v>
      </c>
    </row>
    <row r="3" spans="1:26" x14ac:dyDescent="0.35">
      <c r="A3" s="15" t="s">
        <v>1432</v>
      </c>
    </row>
    <row r="4" spans="1:26" x14ac:dyDescent="0.35">
      <c r="A4" s="16" t="s">
        <v>1433</v>
      </c>
    </row>
    <row r="5" spans="1:26" x14ac:dyDescent="0.35">
      <c r="A5" s="16" t="s">
        <v>1434</v>
      </c>
    </row>
    <row r="6" spans="1:26" x14ac:dyDescent="0.35">
      <c r="A6" s="16" t="s">
        <v>1435</v>
      </c>
    </row>
    <row r="7" spans="1:26" x14ac:dyDescent="0.35">
      <c r="A7" s="16" t="s">
        <v>1436</v>
      </c>
    </row>
    <row r="8" spans="1:26" x14ac:dyDescent="0.35">
      <c r="A8" s="22" t="s">
        <v>1437</v>
      </c>
      <c r="B8" s="23" t="s">
        <v>1438</v>
      </c>
      <c r="C8" s="23" t="s">
        <v>1439</v>
      </c>
      <c r="D8" s="23" t="s">
        <v>1440</v>
      </c>
      <c r="E8" s="23" t="s">
        <v>1441</v>
      </c>
      <c r="F8" s="23" t="s">
        <v>1442</v>
      </c>
      <c r="G8" s="23" t="s">
        <v>1443</v>
      </c>
      <c r="H8" s="23" t="s">
        <v>1444</v>
      </c>
      <c r="I8" s="23" t="s">
        <v>1445</v>
      </c>
      <c r="J8" s="23" t="s">
        <v>1446</v>
      </c>
      <c r="K8" s="23" t="s">
        <v>1447</v>
      </c>
      <c r="L8" s="23" t="s">
        <v>1448</v>
      </c>
      <c r="M8" s="23" t="s">
        <v>1449</v>
      </c>
      <c r="N8" s="23" t="s">
        <v>1450</v>
      </c>
      <c r="O8" s="23" t="s">
        <v>1451</v>
      </c>
      <c r="P8" s="23" t="s">
        <v>1452</v>
      </c>
      <c r="Q8" s="23" t="s">
        <v>1453</v>
      </c>
      <c r="R8" s="23" t="s">
        <v>1454</v>
      </c>
      <c r="S8" s="23" t="s">
        <v>1455</v>
      </c>
      <c r="T8" s="23" t="s">
        <v>1456</v>
      </c>
      <c r="U8" s="23" t="s">
        <v>1457</v>
      </c>
      <c r="V8" s="23" t="s">
        <v>1458</v>
      </c>
      <c r="W8" s="23" t="s">
        <v>1459</v>
      </c>
    </row>
    <row r="9" spans="1:26" x14ac:dyDescent="0.35">
      <c r="A9" s="17" t="s">
        <v>652</v>
      </c>
      <c r="B9" s="18" t="s">
        <v>1460</v>
      </c>
      <c r="C9" s="18" t="s">
        <v>1338</v>
      </c>
      <c r="D9" s="18" t="s">
        <v>1339</v>
      </c>
      <c r="E9" s="18" t="s">
        <v>1461</v>
      </c>
      <c r="F9" s="18" t="s">
        <v>1462</v>
      </c>
      <c r="G9" s="18" t="s">
        <v>1342</v>
      </c>
      <c r="H9" s="18" t="s">
        <v>1463</v>
      </c>
      <c r="I9" s="18" t="s">
        <v>1345</v>
      </c>
      <c r="J9" s="18" t="s">
        <v>1346</v>
      </c>
      <c r="K9" s="18" t="s">
        <v>1347</v>
      </c>
      <c r="L9" s="18" t="s">
        <v>1464</v>
      </c>
      <c r="M9" s="18" t="s">
        <v>1465</v>
      </c>
      <c r="N9" s="18" t="s">
        <v>1466</v>
      </c>
      <c r="O9" s="18" t="s">
        <v>1467</v>
      </c>
      <c r="P9" s="18" t="s">
        <v>1468</v>
      </c>
      <c r="Q9" s="18" t="s">
        <v>1354</v>
      </c>
      <c r="R9" s="18" t="s">
        <v>1357</v>
      </c>
      <c r="S9" s="18" t="s">
        <v>1358</v>
      </c>
      <c r="T9" s="18" t="s">
        <v>981</v>
      </c>
      <c r="U9" s="18" t="s">
        <v>1360</v>
      </c>
      <c r="V9" s="18" t="s">
        <v>1361</v>
      </c>
      <c r="W9" s="18" t="s">
        <v>1366</v>
      </c>
    </row>
    <row r="10" spans="1:26" x14ac:dyDescent="0.35">
      <c r="A10" s="19" t="s">
        <v>64</v>
      </c>
      <c r="B10" s="20" t="s">
        <v>1469</v>
      </c>
      <c r="C10" s="20" t="s">
        <v>1469</v>
      </c>
      <c r="D10" s="4"/>
      <c r="E10" s="20" t="s">
        <v>1469</v>
      </c>
      <c r="F10" s="20" t="s">
        <v>1469</v>
      </c>
      <c r="G10" s="20" t="s">
        <v>1469</v>
      </c>
      <c r="H10" s="20" t="s">
        <v>1469</v>
      </c>
      <c r="I10" s="4"/>
      <c r="J10" s="4"/>
      <c r="K10" s="4"/>
      <c r="L10" s="4"/>
      <c r="M10" s="4"/>
      <c r="N10" s="20" t="s">
        <v>1469</v>
      </c>
      <c r="O10" s="4"/>
      <c r="P10" s="20" t="s">
        <v>1469</v>
      </c>
      <c r="Q10" s="4"/>
      <c r="R10" s="20" t="s">
        <v>1469</v>
      </c>
      <c r="S10" s="4"/>
      <c r="T10" s="20" t="s">
        <v>1469</v>
      </c>
      <c r="U10" s="20" t="s">
        <v>1469</v>
      </c>
      <c r="V10" s="4"/>
      <c r="W10" s="20" t="s">
        <v>1469</v>
      </c>
    </row>
    <row r="11" spans="1:26" x14ac:dyDescent="0.35">
      <c r="A11" s="21" t="s">
        <v>162</v>
      </c>
      <c r="B11" s="20"/>
      <c r="C11" s="20"/>
      <c r="D11" s="4"/>
      <c r="E11" s="20" t="s">
        <v>1469</v>
      </c>
      <c r="F11" s="20" t="s">
        <v>1469</v>
      </c>
      <c r="G11" s="20"/>
      <c r="H11" s="20"/>
      <c r="I11" s="4"/>
      <c r="J11" s="4"/>
      <c r="K11" s="4"/>
      <c r="L11" s="20" t="s">
        <v>1471</v>
      </c>
      <c r="M11" s="4"/>
      <c r="N11" s="20"/>
      <c r="O11" s="4"/>
      <c r="P11" s="20"/>
      <c r="Q11" s="4"/>
      <c r="R11" s="20"/>
      <c r="S11" s="4"/>
      <c r="T11" s="20" t="s">
        <v>1469</v>
      </c>
      <c r="U11" s="20"/>
      <c r="V11" s="4"/>
      <c r="W11" s="20"/>
    </row>
    <row r="12" spans="1:26" x14ac:dyDescent="0.35">
      <c r="A12" s="21" t="s">
        <v>3</v>
      </c>
      <c r="B12" s="20" t="s">
        <v>1469</v>
      </c>
      <c r="C12" s="20" t="s">
        <v>1469</v>
      </c>
      <c r="D12" s="4"/>
      <c r="E12" s="20" t="s">
        <v>1469</v>
      </c>
      <c r="F12" s="20" t="s">
        <v>1469</v>
      </c>
      <c r="G12" s="20" t="s">
        <v>1469</v>
      </c>
      <c r="H12" s="20" t="s">
        <v>1469</v>
      </c>
      <c r="I12" s="4"/>
      <c r="J12" s="4"/>
      <c r="K12" s="4"/>
      <c r="L12" s="4"/>
      <c r="M12" s="4"/>
      <c r="N12" s="20" t="s">
        <v>1469</v>
      </c>
      <c r="O12" s="4"/>
      <c r="P12" s="20" t="s">
        <v>1469</v>
      </c>
      <c r="Q12" s="4"/>
      <c r="R12" s="20" t="s">
        <v>1469</v>
      </c>
      <c r="S12" s="4"/>
      <c r="T12" s="20" t="s">
        <v>1469</v>
      </c>
      <c r="U12" s="20" t="s">
        <v>1469</v>
      </c>
      <c r="V12" s="4"/>
      <c r="W12" s="20" t="s">
        <v>1469</v>
      </c>
    </row>
    <row r="13" spans="1:26" x14ac:dyDescent="0.35">
      <c r="A13" s="21" t="s">
        <v>375</v>
      </c>
      <c r="B13" s="4"/>
      <c r="C13" s="4"/>
      <c r="D13" s="4"/>
      <c r="E13" s="20" t="s">
        <v>1469</v>
      </c>
      <c r="F13" s="20" t="s">
        <v>1469</v>
      </c>
      <c r="G13" s="20" t="s">
        <v>1469</v>
      </c>
      <c r="H13" s="20" t="s">
        <v>1469</v>
      </c>
      <c r="I13" s="4"/>
      <c r="J13" s="4"/>
      <c r="K13" s="4"/>
      <c r="L13" s="20" t="s">
        <v>1469</v>
      </c>
      <c r="M13" s="20" t="s">
        <v>1469</v>
      </c>
      <c r="N13" s="20" t="s">
        <v>1469</v>
      </c>
      <c r="O13" s="20" t="s">
        <v>1469</v>
      </c>
      <c r="P13" s="4"/>
      <c r="Q13" s="4"/>
      <c r="R13" s="4"/>
      <c r="S13" s="20" t="s">
        <v>1469</v>
      </c>
      <c r="T13" s="20" t="s">
        <v>1469</v>
      </c>
      <c r="U13" s="20" t="s">
        <v>1469</v>
      </c>
      <c r="V13" s="4"/>
      <c r="W13" s="20" t="s">
        <v>1469</v>
      </c>
    </row>
    <row r="16" spans="1:26" ht="16" x14ac:dyDescent="0.4">
      <c r="A16" s="66" t="s">
        <v>1479</v>
      </c>
    </row>
    <row r="17" spans="1:12" x14ac:dyDescent="0.35">
      <c r="A17" s="67" t="s">
        <v>1480</v>
      </c>
    </row>
    <row r="18" spans="1:12" x14ac:dyDescent="0.35">
      <c r="A18" s="67" t="s">
        <v>1481</v>
      </c>
    </row>
    <row r="20" spans="1:12" x14ac:dyDescent="0.35">
      <c r="A20" s="18" t="s">
        <v>1482</v>
      </c>
      <c r="B20" s="18" t="s">
        <v>1483</v>
      </c>
      <c r="C20" s="18" t="s">
        <v>1484</v>
      </c>
      <c r="D20" s="18" t="s">
        <v>1485</v>
      </c>
      <c r="E20" s="18" t="s">
        <v>1486</v>
      </c>
      <c r="F20" s="18" t="s">
        <v>1487</v>
      </c>
      <c r="G20" s="18" t="s">
        <v>1488</v>
      </c>
      <c r="H20" s="18" t="s">
        <v>1489</v>
      </c>
      <c r="I20" s="18" t="s">
        <v>1490</v>
      </c>
      <c r="J20" s="18" t="s">
        <v>1491</v>
      </c>
      <c r="K20" s="18" t="s">
        <v>1492</v>
      </c>
      <c r="L20" s="18" t="s">
        <v>1493</v>
      </c>
    </row>
    <row r="21" spans="1:12" x14ac:dyDescent="0.35">
      <c r="A21" s="21" t="s">
        <v>1421</v>
      </c>
      <c r="B21" s="20" t="s">
        <v>1469</v>
      </c>
      <c r="C21" s="20" t="s">
        <v>1469</v>
      </c>
      <c r="D21" s="20" t="s">
        <v>1469</v>
      </c>
      <c r="E21" s="20" t="s">
        <v>1469</v>
      </c>
      <c r="F21" s="20" t="s">
        <v>1469</v>
      </c>
      <c r="G21" s="20" t="s">
        <v>1469</v>
      </c>
      <c r="H21" s="4"/>
      <c r="I21" s="4"/>
      <c r="J21" s="4"/>
      <c r="K21" s="4"/>
      <c r="L21" s="4"/>
    </row>
    <row r="22" spans="1:12" x14ac:dyDescent="0.35">
      <c r="A22" s="21" t="s">
        <v>1426</v>
      </c>
      <c r="B22" s="4"/>
      <c r="C22" s="4"/>
      <c r="D22" s="4"/>
      <c r="E22" s="4"/>
      <c r="F22" s="4"/>
      <c r="G22" s="4"/>
      <c r="H22" s="20" t="s">
        <v>1469</v>
      </c>
      <c r="I22" s="20" t="s">
        <v>1469</v>
      </c>
      <c r="J22" s="20" t="s">
        <v>1469</v>
      </c>
      <c r="K22" s="20" t="s">
        <v>1469</v>
      </c>
      <c r="L22" s="20" t="s">
        <v>1469</v>
      </c>
    </row>
    <row r="23" spans="1:12" x14ac:dyDescent="0.35">
      <c r="A23" s="21" t="s">
        <v>1422</v>
      </c>
      <c r="B23" s="20" t="s">
        <v>1469</v>
      </c>
      <c r="C23" s="20" t="s">
        <v>1469</v>
      </c>
      <c r="D23" s="20" t="s">
        <v>1469</v>
      </c>
      <c r="E23" s="20" t="s">
        <v>1469</v>
      </c>
      <c r="F23" s="4"/>
      <c r="G23" s="20" t="s">
        <v>1469</v>
      </c>
      <c r="H23" s="4"/>
      <c r="I23" s="4"/>
      <c r="J23" s="4"/>
      <c r="K23" s="4"/>
      <c r="L23" s="4"/>
    </row>
  </sheetData>
  <dataValidations count="1">
    <dataValidation type="list" allowBlank="1" showInputMessage="1" showErrorMessage="1" sqref="B10:W13 B21:L23" xr:uid="{285ACD74-B6BC-FB40-83F0-6F627FD32E6D}">
      <formula1>"SI,NO"</formula1>
    </dataValidation>
  </dataValidations>
  <pageMargins left="0.7" right="0.7" top="0.75" bottom="0.75" header="0.3" footer="0.3"/>
  <headerFooter>
    <oddFooter>&amp;L_x000D_&amp;1#&amp;"Aptos"&amp;14&amp;K000000 Información Interna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E2714-3527-4D96-9963-EF06C927A9C3}">
  <sheetPr codeName="Sheet8">
    <tabColor theme="3" tint="0.249977111117893"/>
  </sheetPr>
  <dimension ref="B5:G37"/>
  <sheetViews>
    <sheetView showGridLines="0" topLeftCell="A24" workbookViewId="0">
      <selection activeCell="C18" sqref="C18"/>
    </sheetView>
  </sheetViews>
  <sheetFormatPr baseColWidth="10" defaultRowHeight="14.5" x14ac:dyDescent="0.35"/>
  <cols>
    <col min="1" max="1" width="1.1796875" customWidth="1"/>
    <col min="2" max="2" width="87" bestFit="1" customWidth="1"/>
    <col min="3" max="3" width="37" bestFit="1" customWidth="1"/>
    <col min="6" max="12" width="10.81640625" customWidth="1"/>
  </cols>
  <sheetData>
    <row r="5" spans="2:7" x14ac:dyDescent="0.35">
      <c r="F5" s="82"/>
      <c r="G5" s="82"/>
    </row>
    <row r="6" spans="2:7" x14ac:dyDescent="0.35">
      <c r="F6" s="21"/>
      <c r="G6" s="21"/>
    </row>
    <row r="7" spans="2:7" ht="15" thickBot="1" x14ac:dyDescent="0.4">
      <c r="F7" s="21"/>
      <c r="G7" s="21"/>
    </row>
    <row r="8" spans="2:7" ht="21.5" thickBot="1" x14ac:dyDescent="0.55000000000000004">
      <c r="B8" s="83" t="s">
        <v>1470</v>
      </c>
      <c r="C8" s="84"/>
    </row>
    <row r="11" spans="2:7" ht="18.5" x14ac:dyDescent="0.35">
      <c r="B11" s="85" t="s">
        <v>1475</v>
      </c>
      <c r="C11" s="85"/>
    </row>
    <row r="12" spans="2:7" ht="18.5" x14ac:dyDescent="0.35">
      <c r="B12" s="85" t="s">
        <v>1474</v>
      </c>
      <c r="C12" s="85"/>
    </row>
    <row r="13" spans="2:7" ht="15" thickBot="1" x14ac:dyDescent="0.4"/>
    <row r="14" spans="2:7" ht="16.5" thickBot="1" x14ac:dyDescent="0.45">
      <c r="B14" s="40" t="s">
        <v>1495</v>
      </c>
      <c r="C14" s="41" t="s">
        <v>162</v>
      </c>
    </row>
    <row r="16" spans="2:7" ht="15" thickBot="1" x14ac:dyDescent="0.4"/>
    <row r="17" spans="2:3" ht="16.5" thickBot="1" x14ac:dyDescent="0.4">
      <c r="B17" s="42" t="s">
        <v>1472</v>
      </c>
      <c r="C17" s="42" t="s">
        <v>1473</v>
      </c>
    </row>
    <row r="18" spans="2:3" x14ac:dyDescent="0.35">
      <c r="B18" t="s">
        <v>1496</v>
      </c>
      <c r="C18" t="s">
        <v>1469</v>
      </c>
    </row>
    <row r="19" spans="2:3" x14ac:dyDescent="0.35">
      <c r="B19" t="s">
        <v>1497</v>
      </c>
      <c r="C19" t="s">
        <v>1469</v>
      </c>
    </row>
    <row r="20" spans="2:3" x14ac:dyDescent="0.35">
      <c r="B20" t="s">
        <v>1498</v>
      </c>
      <c r="C20" t="s">
        <v>1469</v>
      </c>
    </row>
    <row r="21" spans="2:3" x14ac:dyDescent="0.35">
      <c r="B21" t="s">
        <v>1499</v>
      </c>
      <c r="C21" t="s">
        <v>1469</v>
      </c>
    </row>
    <row r="22" spans="2:3" x14ac:dyDescent="0.35">
      <c r="B22" t="s">
        <v>1500</v>
      </c>
      <c r="C22" t="s">
        <v>1469</v>
      </c>
    </row>
    <row r="23" spans="2:3" ht="29" x14ac:dyDescent="0.35">
      <c r="B23" s="25" t="s">
        <v>1501</v>
      </c>
      <c r="C23" t="s">
        <v>1469</v>
      </c>
    </row>
    <row r="25" spans="2:3" x14ac:dyDescent="0.35">
      <c r="B25" s="11" t="s">
        <v>1494</v>
      </c>
      <c r="C25" s="21" t="str">
        <f>IF(C14="","Seleccione un país válido",IF(COUNTIFS(B18:B23,"&lt;&gt;""",C18:C23,"NO")&gt;0,"NO CUMPLE","CUMPLE"))</f>
        <v>CUMPLE</v>
      </c>
    </row>
    <row r="26" spans="2:3" ht="15" thickBot="1" x14ac:dyDescent="0.4"/>
    <row r="27" spans="2:3" ht="21.5" thickBot="1" x14ac:dyDescent="0.55000000000000004">
      <c r="B27" s="83" t="s">
        <v>1507</v>
      </c>
      <c r="C27" s="84"/>
    </row>
    <row r="28" spans="2:3" x14ac:dyDescent="0.35">
      <c r="B28" s="38" t="s">
        <v>1502</v>
      </c>
      <c r="C28" s="38" t="s">
        <v>1469</v>
      </c>
    </row>
    <row r="29" spans="2:3" x14ac:dyDescent="0.35">
      <c r="B29" s="38" t="s">
        <v>1503</v>
      </c>
      <c r="C29" s="38" t="s">
        <v>1469</v>
      </c>
    </row>
    <row r="30" spans="2:3" x14ac:dyDescent="0.35">
      <c r="B30" s="38" t="s">
        <v>1504</v>
      </c>
      <c r="C30" s="38" t="s">
        <v>1469</v>
      </c>
    </row>
    <row r="31" spans="2:3" x14ac:dyDescent="0.35">
      <c r="B31" s="38" t="s">
        <v>1505</v>
      </c>
      <c r="C31" s="38" t="s">
        <v>1469</v>
      </c>
    </row>
    <row r="32" spans="2:3" ht="29" x14ac:dyDescent="0.35">
      <c r="B32" s="39" t="s">
        <v>1506</v>
      </c>
      <c r="C32" s="38" t="s">
        <v>1469</v>
      </c>
    </row>
    <row r="34" spans="2:3" x14ac:dyDescent="0.35">
      <c r="C34" s="21" t="str">
        <f>IF(C14="","Seleccione un país válido",IF(COUNTIFS(B28:B32,"&lt;&gt;""",C28:C32,"NO")&gt;0,"NO CUMPLE","CUMPLE"))</f>
        <v>CUMPLE</v>
      </c>
    </row>
    <row r="37" spans="2:3" x14ac:dyDescent="0.35">
      <c r="B37" s="43" t="s">
        <v>1477</v>
      </c>
    </row>
  </sheetData>
  <mergeCells count="5">
    <mergeCell ref="F5:G5"/>
    <mergeCell ref="B8:C8"/>
    <mergeCell ref="B11:C11"/>
    <mergeCell ref="B12:C12"/>
    <mergeCell ref="B27:C27"/>
  </mergeCells>
  <conditionalFormatting sqref="C25">
    <cfRule type="containsText" dxfId="5" priority="31" operator="containsText" text="NO CUMPLE">
      <formula>NOT(ISERROR(SEARCH("NO CUMPLE",C25)))</formula>
    </cfRule>
    <cfRule type="containsText" dxfId="4" priority="32" operator="containsText" text="CUMPLE">
      <formula>NOT(ISERROR(SEARCH("CUMPLE",C25)))</formula>
    </cfRule>
  </conditionalFormatting>
  <conditionalFormatting sqref="C34">
    <cfRule type="containsText" dxfId="3" priority="29" operator="containsText" text="NO CUMPLE">
      <formula>NOT(ISERROR(SEARCH("NO CUMPLE",C34)))</formula>
    </cfRule>
    <cfRule type="containsText" dxfId="2" priority="30" operator="containsText" text="CUMPLE">
      <formula>NOT(ISERROR(SEARCH("CUMPLE",C34)))</formula>
    </cfRule>
  </conditionalFormatting>
  <dataValidations count="1">
    <dataValidation type="list" allowBlank="1" showInputMessage="1" showErrorMessage="1" sqref="C13 C15:C16" xr:uid="{59ED7ABD-2EF3-4F7C-8CCB-C3B41B691E96}">
      <formula1>$L$12:$L$13</formula1>
    </dataValidation>
  </dataValidations>
  <pageMargins left="0.7" right="0.7" top="0.75" bottom="0.75" header="0.3" footer="0.3"/>
  <pageSetup orientation="portrait" r:id="rId1"/>
  <headerFooter>
    <oddFooter>&amp;L_x000D_&amp;1#&amp;"Aptos"&amp;14&amp;K000000 Información Interna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5DB2DB7-FD43-5546-BD62-0D7870E179BD}">
          <x14:formula1>
            <xm:f>Sociedades!$A$2:$A$10</xm:f>
          </x14:formula1>
          <xm:sqref>C14</xm:sqref>
        </x14:dataValidation>
        <x14:dataValidation type="list" allowBlank="1" showInputMessage="1" showErrorMessage="1" xr:uid="{61407E6C-8F5F-904E-8613-F639EB9C5A3C}">
          <x14:formula1>
            <xm:f>_ListasClase!$S$2:$S$3</xm:f>
          </x14:formula1>
          <xm:sqref>C18:C23 C28:C32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8C34F-35DF-430E-902F-EF3C7DCFAFB2}">
  <sheetPr codeName="Sheet9">
    <tabColor theme="3" tint="0.249977111117893"/>
  </sheetPr>
  <dimension ref="A10:AK93"/>
  <sheetViews>
    <sheetView showGridLines="0" tabSelected="1" topLeftCell="R20" zoomScale="78" zoomScaleNormal="78" workbookViewId="0">
      <selection activeCell="AD36" sqref="AD36"/>
    </sheetView>
  </sheetViews>
  <sheetFormatPr baseColWidth="10" defaultColWidth="10.81640625" defaultRowHeight="14.5" x14ac:dyDescent="0.35"/>
  <cols>
    <col min="1" max="1" width="3.453125" style="29" customWidth="1"/>
    <col min="2" max="2" width="32.36328125" style="29" bestFit="1" customWidth="1"/>
    <col min="3" max="3" width="19.36328125" style="29" bestFit="1" customWidth="1"/>
    <col min="4" max="4" width="17.7265625" style="29" bestFit="1" customWidth="1"/>
    <col min="5" max="5" width="10.36328125" style="29" bestFit="1" customWidth="1"/>
    <col min="6" max="6" width="30" style="29" bestFit="1" customWidth="1"/>
    <col min="7" max="7" width="16.1796875" style="29" bestFit="1" customWidth="1"/>
    <col min="8" max="8" width="12.36328125" style="29" bestFit="1" customWidth="1"/>
    <col min="9" max="9" width="31.1796875" style="29" bestFit="1" customWidth="1"/>
    <col min="10" max="10" width="29.453125" style="29" bestFit="1" customWidth="1"/>
    <col min="11" max="11" width="23.6328125" style="29" bestFit="1" customWidth="1"/>
    <col min="12" max="12" width="14.453125" style="29" bestFit="1" customWidth="1"/>
    <col min="13" max="13" width="18.6328125" style="29" bestFit="1" customWidth="1"/>
    <col min="14" max="14" width="8" style="29" bestFit="1" customWidth="1"/>
    <col min="15" max="15" width="19.453125" style="29" bestFit="1" customWidth="1"/>
    <col min="16" max="16" width="18.81640625" style="29" bestFit="1" customWidth="1"/>
    <col min="17" max="19" width="19.453125" style="29" bestFit="1" customWidth="1"/>
    <col min="20" max="20" width="17.1796875" style="29" bestFit="1" customWidth="1"/>
    <col min="21" max="21" width="17.6328125" style="29" bestFit="1" customWidth="1"/>
    <col min="22" max="22" width="19.6328125" style="29" bestFit="1" customWidth="1"/>
    <col min="23" max="23" width="17.1796875" style="29" bestFit="1" customWidth="1"/>
    <col min="24" max="24" width="10.1796875" style="29" bestFit="1" customWidth="1"/>
    <col min="25" max="25" width="16.453125" style="29" bestFit="1" customWidth="1"/>
    <col min="26" max="26" width="18.1796875" style="29" bestFit="1" customWidth="1"/>
    <col min="27" max="27" width="15.36328125" style="29" bestFit="1" customWidth="1"/>
    <col min="28" max="28" width="16.6328125" style="29" bestFit="1" customWidth="1"/>
    <col min="29" max="29" width="20.453125" style="29" bestFit="1" customWidth="1"/>
    <col min="30" max="30" width="17.1796875" style="29" bestFit="1" customWidth="1"/>
    <col min="31" max="31" width="16.36328125" style="29" bestFit="1" customWidth="1"/>
    <col min="32" max="32" width="12.81640625" style="29" bestFit="1" customWidth="1"/>
    <col min="33" max="34" width="11.1796875" style="29" bestFit="1" customWidth="1"/>
    <col min="35" max="35" width="14.81640625" style="29" bestFit="1" customWidth="1"/>
    <col min="36" max="36" width="213.36328125" style="29" bestFit="1" customWidth="1"/>
    <col min="37" max="16384" width="10.81640625" style="29"/>
  </cols>
  <sheetData>
    <row r="10" spans="1:36" ht="15" customHeight="1" x14ac:dyDescent="0.35">
      <c r="A10" s="26"/>
      <c r="B10" s="27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8"/>
    </row>
    <row r="11" spans="1:36" x14ac:dyDescent="0.35">
      <c r="A11" s="30"/>
      <c r="B11" s="76" t="s">
        <v>1328</v>
      </c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8"/>
    </row>
    <row r="12" spans="1:36" ht="25" customHeight="1" x14ac:dyDescent="0.35">
      <c r="A12" s="31"/>
      <c r="B12" s="79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  <c r="AH12" s="80"/>
      <c r="AI12" s="80"/>
      <c r="AJ12" s="81"/>
    </row>
    <row r="13" spans="1:36" ht="25" customHeight="1" x14ac:dyDescent="0.35">
      <c r="A13" s="64"/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</row>
    <row r="14" spans="1:36" ht="24" customHeight="1" x14ac:dyDescent="0.35">
      <c r="A14" s="33"/>
      <c r="B14" s="44" t="s">
        <v>1329</v>
      </c>
      <c r="C14" s="63" t="s">
        <v>162</v>
      </c>
      <c r="D14" s="74"/>
      <c r="E14" s="74"/>
      <c r="F14" s="74"/>
      <c r="G14" s="45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5"/>
      <c r="AG14" s="49"/>
      <c r="AH14" s="49"/>
      <c r="AI14" s="51"/>
      <c r="AJ14" s="32"/>
    </row>
    <row r="15" spans="1:36" ht="24" customHeight="1" x14ac:dyDescent="0.35">
      <c r="A15" s="33"/>
      <c r="B15" s="44" t="s">
        <v>1330</v>
      </c>
      <c r="C15" s="45"/>
      <c r="D15" s="74"/>
      <c r="E15" s="74"/>
      <c r="F15" s="74"/>
      <c r="G15" s="45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5"/>
      <c r="AG15" s="49"/>
      <c r="AH15" s="49"/>
      <c r="AI15" s="51"/>
      <c r="AJ15" s="32"/>
    </row>
    <row r="16" spans="1:36" ht="15.75" customHeight="1" x14ac:dyDescent="0.35">
      <c r="A16" s="33"/>
      <c r="B16" s="44" t="s">
        <v>1331</v>
      </c>
      <c r="C16" s="46"/>
      <c r="D16" s="74"/>
      <c r="E16" s="74"/>
      <c r="F16" s="74"/>
      <c r="G16" s="50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50"/>
      <c r="AG16" s="49"/>
      <c r="AH16" s="49"/>
      <c r="AI16" s="51"/>
      <c r="AJ16" s="32"/>
    </row>
    <row r="17" spans="1:37" ht="35.25" customHeight="1" x14ac:dyDescent="0.35">
      <c r="A17" s="33"/>
      <c r="B17" s="47" t="s">
        <v>1332</v>
      </c>
      <c r="C17" s="48"/>
      <c r="D17" s="74"/>
      <c r="E17" s="74"/>
      <c r="F17" s="74"/>
      <c r="G17" s="50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50"/>
      <c r="AG17" s="49"/>
      <c r="AH17" s="49"/>
      <c r="AI17" s="51"/>
      <c r="AJ17" s="32"/>
    </row>
    <row r="18" spans="1:37" ht="15.75" customHeight="1" x14ac:dyDescent="0.35">
      <c r="A18" s="33"/>
      <c r="B18" s="44" t="s">
        <v>1333</v>
      </c>
      <c r="C18" s="48"/>
      <c r="D18" s="74"/>
      <c r="E18" s="74"/>
      <c r="F18" s="74"/>
      <c r="G18" s="50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50"/>
      <c r="AG18" s="49"/>
      <c r="AH18" s="49"/>
      <c r="AI18" s="51"/>
      <c r="AJ18" s="32"/>
    </row>
    <row r="19" spans="1:37" ht="20" customHeight="1" x14ac:dyDescent="0.35">
      <c r="A19" s="33"/>
      <c r="B19" s="44" t="s">
        <v>1334</v>
      </c>
      <c r="C19" s="48"/>
      <c r="D19" s="74"/>
      <c r="E19" s="74"/>
      <c r="F19" s="74"/>
      <c r="G19" s="50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50"/>
      <c r="AG19" s="49"/>
      <c r="AH19" s="49"/>
      <c r="AI19" s="51"/>
      <c r="AJ19" s="32"/>
    </row>
    <row r="20" spans="1:37" ht="29.25" customHeight="1" x14ac:dyDescent="0.35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75" t="s">
        <v>1335</v>
      </c>
      <c r="AH20" s="75"/>
      <c r="AI20" s="75"/>
    </row>
    <row r="21" spans="1:37" s="36" customFormat="1" ht="48.75" customHeight="1" x14ac:dyDescent="0.35">
      <c r="A21" s="34"/>
      <c r="B21" s="53" t="s">
        <v>1336</v>
      </c>
      <c r="C21" s="53" t="s">
        <v>1337</v>
      </c>
      <c r="D21" s="53" t="s">
        <v>1338</v>
      </c>
      <c r="E21" s="53" t="s">
        <v>1339</v>
      </c>
      <c r="F21" s="53" t="s">
        <v>1340</v>
      </c>
      <c r="G21" s="53" t="s">
        <v>1341</v>
      </c>
      <c r="H21" s="53" t="s">
        <v>1342</v>
      </c>
      <c r="I21" s="53" t="s">
        <v>1343</v>
      </c>
      <c r="J21" s="53" t="s">
        <v>1344</v>
      </c>
      <c r="K21" s="53" t="s">
        <v>1344</v>
      </c>
      <c r="L21" s="53" t="s">
        <v>1345</v>
      </c>
      <c r="M21" s="53" t="s">
        <v>1346</v>
      </c>
      <c r="N21" s="53" t="s">
        <v>1347</v>
      </c>
      <c r="O21" s="53" t="s">
        <v>1348</v>
      </c>
      <c r="P21" s="53" t="s">
        <v>1349</v>
      </c>
      <c r="Q21" s="53" t="s">
        <v>1350</v>
      </c>
      <c r="R21" s="53" t="s">
        <v>1351</v>
      </c>
      <c r="S21" s="53" t="s">
        <v>1352</v>
      </c>
      <c r="T21" s="53" t="s">
        <v>1353</v>
      </c>
      <c r="U21" s="53" t="s">
        <v>1354</v>
      </c>
      <c r="V21" s="53" t="s">
        <v>1355</v>
      </c>
      <c r="W21" s="53" t="s">
        <v>1356</v>
      </c>
      <c r="X21" s="53" t="s">
        <v>1357</v>
      </c>
      <c r="Y21" s="53" t="s">
        <v>1358</v>
      </c>
      <c r="Z21" s="53" t="s">
        <v>981</v>
      </c>
      <c r="AA21" s="53" t="s">
        <v>1359</v>
      </c>
      <c r="AB21" s="53" t="s">
        <v>1360</v>
      </c>
      <c r="AC21" s="53" t="s">
        <v>1361</v>
      </c>
      <c r="AD21" s="53" t="s">
        <v>1362</v>
      </c>
      <c r="AE21" s="53" t="s">
        <v>1363</v>
      </c>
      <c r="AF21" s="53" t="s">
        <v>1364</v>
      </c>
      <c r="AG21" s="55" t="s">
        <v>1365</v>
      </c>
      <c r="AH21" s="55" t="s">
        <v>1366</v>
      </c>
      <c r="AI21" s="55" t="s">
        <v>1367</v>
      </c>
      <c r="AJ21" s="54" t="s">
        <v>1368</v>
      </c>
      <c r="AK21" s="35"/>
    </row>
    <row r="22" spans="1:37" s="37" customFormat="1" ht="29" x14ac:dyDescent="0.3">
      <c r="A22" s="31"/>
      <c r="B22" s="56">
        <v>1</v>
      </c>
      <c r="C22" s="57"/>
      <c r="D22" s="69" t="s">
        <v>1511</v>
      </c>
      <c r="E22" s="57"/>
      <c r="F22" s="57" t="s">
        <v>102</v>
      </c>
      <c r="G22" s="58" t="str">
        <f>IFERROR(_xlfn.XLOOKUP(F22,Clase!$C$2:$C$292,Clase!$B$2:$B$292,""),"")</f>
        <v>A451217</v>
      </c>
      <c r="H22" s="57">
        <v>1</v>
      </c>
      <c r="I22" s="69" t="s">
        <v>1517</v>
      </c>
      <c r="J22" s="69" t="s">
        <v>1516</v>
      </c>
      <c r="K22" s="69" t="s">
        <v>1516</v>
      </c>
      <c r="L22" s="69" t="s">
        <v>1514</v>
      </c>
      <c r="M22" s="59"/>
      <c r="N22" s="70" t="s">
        <v>1510</v>
      </c>
      <c r="O22" s="59"/>
      <c r="P22" s="59"/>
      <c r="Q22" s="59"/>
      <c r="R22" s="59" t="s">
        <v>528</v>
      </c>
      <c r="S22" s="59"/>
      <c r="T22" s="59" t="s">
        <v>582</v>
      </c>
      <c r="U22" s="71" t="s">
        <v>1513</v>
      </c>
      <c r="V22" s="59"/>
      <c r="W22" s="59">
        <v>4510014034</v>
      </c>
      <c r="X22" s="59" t="s">
        <v>1512</v>
      </c>
      <c r="Y22" s="59"/>
      <c r="Z22" s="59">
        <v>5603</v>
      </c>
      <c r="AA22" s="59"/>
      <c r="AB22" s="57">
        <v>10004</v>
      </c>
      <c r="AC22" s="57"/>
      <c r="AD22" s="58">
        <f>IFERROR(_xlfn.XLOOKUP(AB22,Ceco!$B$2:$B$901,Ceco!$C$2:$C$901,""),"")</f>
        <v>10004</v>
      </c>
      <c r="AE22" s="57"/>
      <c r="AF22" s="57"/>
      <c r="AG22" s="60"/>
      <c r="AH22" s="57"/>
      <c r="AI22" s="61"/>
      <c r="AJ22" s="62" t="str">
        <f>IF(COUNTA(C22,D22,E22,F22,H22,I22,L22,M22,N22,P22,Q22,R22,S22,T22,U22,X22,Y22,Z22,AB22,AC22,AH22)=0,"",IF(LEN(_xlfn.TEXTJOIN(", ",TRUE,IF(AND(_xlfn.XLOOKUP($C$14,_Requeridos!$A$10:$A$20,_Requeridos!$B$10:$B$20,"")="SI",C22=""),"Orden de Inversión",""),IF(AND(_xlfn.XLOOKUP($C$14,_Requeridos!$A$10:$A$20,_Requeridos!$C$10:$C$20,"")="SI",D22=""),"Elemento PEP",""),IF(AND(_xlfn.XLOOKUP($C$14,_Requeridos!$A$10:$A$20,_Requeridos!$D$10:$D$20,"")="SI",E22=""),"Pedido",""),IF(AND(_xlfn.XLOOKUP($C$14,_Requeridos!$A$10:$A$20,_Requeridos!$E$10:$E$20,"")="SI",F22=""),"Descripción Activo SAP",""),IF(AND(_xlfn.XLOOKUP($C$14,_Requeridos!$A$10:$A$20,_Requeridos!$F$10:$F$20,"")="SI",G22=""),"Clase",""),IF(AND(_xlfn.XLOOKUP($C$14,_Requeridos!$A$10:$A$20,_Requeridos!$G$10:$G$20,"")="SI",H22=""),"Cantidad",""),IF(AND(_xlfn.XLOOKUP($C$14,_Requeridos!$A$10:$A$20,_Requeridos!$H$10:$H$20,"")="SI",I22=""),"Nombre principal AF",""),IF(AND(_xlfn.XLOOKUP($C$14,_Requeridos!$A$10:$A$20,_Requeridos!$I$10:$I$20,"")="SI",L22=""),"Fabricante",""),IF(AND(_xlfn.XLOOKUP($C$14,_Requeridos!$A$10:$A$20,_Requeridos!$J$10:$J$20,"")="SI",M22=""),"Nit Proveedor",""),IF(AND(_xlfn.XLOOKUP($C$14,_Requeridos!$A$10:$A$20,_Requeridos!$K$10:$K$20,"")="SI",N22=""),"Serie",""),IF(AND(_xlfn.XLOOKUP($C$14,_Requeridos!$A$10:$A$20,_Requeridos!$L$10:$L$20,"")="SI",P22=""),"Criterio Clas. 1",""),IF(AND(_xlfn.XLOOKUP($C$14,_Requeridos!$A$10:$A$20,_Requeridos!$M$10:$M$20,"")="SI",Q22=""),"Criterio Clas. 2",""),IF(AND(_xlfn.XLOOKUP($C$14,_Requeridos!$A$10:$A$20,_Requeridos!$N$10:$N$20,"")="SI",R22=""),"Criterio Clas. 3",""),IF(AND(_xlfn.XLOOKUP($C$14,_Requeridos!$A$10:$A$20,_Requeridos!$O$10:$O$20,"")="SI",S22=""),"Criterio Clas. 4",""),IF(AND(_xlfn.XLOOKUP($C$14,_Requeridos!$A$10:$A$20,_Requeridos!$P$10:$P$20,"")="SI",T22=""),"Criterio Clas. 5",""),IF(AND(_xlfn.XLOOKUP($C$14,_Requeridos!$A$10:$A$20,_Requeridos!$Q$10:$Q$20,"")="SI",U22=""),"Ubicación técnica",""),IF(AND(_xlfn.XLOOKUP($C$14,_Requeridos!$A$10:$A$20,_Requeridos!$R$10:$R$20,"")="SI",X22=""),"Centro",""),IF(AND(_xlfn.XLOOKUP($C$14,_Requeridos!$A$10:$A$20,_Requeridos!$S$10:$S$20,"")="SI",Y22=""),"Código País",""),IF(AND(_xlfn.XLOOKUP($C$14,_Requeridos!$A$10:$A$20,_Requeridos!$T$10:$T$20,"")="SI",Z22=""),"Emplazamiento",""),IF(AND(_xlfn.XLOOKUP($C$14,_Requeridos!$A$10:$A$20,_Requeridos!$U$10:$U$20,"")="SI",AB22=""),"Centro de Costo",""),IF(AND(_xlfn.XLOOKUP($C$14,_Requeridos!$A$10:$A$20,_Requeridos!$V$10:$V$20,"")="SI",AC22=""),"Número de personal",""),IF(AND(_xlfn.XLOOKUP($C$14,_Requeridos!$A$10:$A$20,_Requeridos!$W$10:$W$20,"")="SI",AH22=""),"Valor Unitario","")))&gt;0,"⚠️ Faltan: "&amp;_xlfn.TEXTJOIN(", ",TRUE,IF(AND(_xlfn.XLOOKUP($C$14,_Requeridos!$A$10:$A$20,_Requeridos!$B$10:$B$20,"")="SI",C22=""),"Orden de Inversión",""),IF(AND(_xlfn.XLOOKUP($C$14,_Requeridos!$A$10:$A$20,_Requeridos!$C$10:$C$20,"")="SI",D22=""),"Elemento PEP",""),IF(AND(_xlfn.XLOOKUP($C$14,_Requeridos!$A$10:$A$20,_Requeridos!$D$10:$D$20,"")="SI",E22=""),"Pedido",""),IF(AND(_xlfn.XLOOKUP($C$14,_Requeridos!$A$10:$A$20,_Requeridos!$E$10:$E$20,"")="SI",F22=""),"Descripción Activo SAP",""),IF(AND(_xlfn.XLOOKUP($C$14,_Requeridos!$A$10:$A$20,_Requeridos!$F$10:$F$20,"")="SI",G22=""),"Clase",""),IF(AND(_xlfn.XLOOKUP($C$14,_Requeridos!$A$10:$A$20,_Requeridos!$G$10:$G$20,"")="SI",H22=""),"Cantidad",""),IF(AND(_xlfn.XLOOKUP($C$14,_Requeridos!$A$10:$A$20,_Requeridos!$H$10:$H$20,"")="SI",I22=""),"Nombre principal AF",""),IF(AND(_xlfn.XLOOKUP($C$14,_Requeridos!$A$10:$A$20,_Requeridos!$I$10:$I$20,"")="SI",L22=""),"Fabricante",""),IF(AND(_xlfn.XLOOKUP($C$14,_Requeridos!$A$10:$A$20,_Requeridos!$J$10:$J$20,"")="SI",M22=""),"Nit Proveedor",""),IF(AND(_xlfn.XLOOKUP($C$14,_Requeridos!$A$10:$A$20,_Requeridos!$K$10:$K$20,"")="SI",N22=""),"Serie",""),IF(AND(_xlfn.XLOOKUP($C$14,_Requeridos!$A$10:$A$20,_Requeridos!$L$10:$L$20,"")="SI",P22=""),"Criterio Clas. 1",""),IF(AND(_xlfn.XLOOKUP($C$14,_Requeridos!$A$10:$A$20,_Requeridos!$M$10:$M$20,"")="SI",Q22=""),"Criterio Clas. 2",""),IF(AND(_xlfn.XLOOKUP($C$14,_Requeridos!$A$10:$A$20,_Requeridos!$N$10:$N$20,"")="SI",R22=""),"Criterio Clas. 3",""),IF(AND(_xlfn.XLOOKUP($C$14,_Requeridos!$A$10:$A$20,_Requeridos!$O$10:$O$20,"")="SI",S22=""),"Criterio Clas. 4",""),IF(AND(_xlfn.XLOOKUP($C$14,_Requeridos!$A$10:$A$20,_Requeridos!$P$10:$P$20,"")="SI",T22=""),"Criterio Clas. 5",""),IF(AND(_xlfn.XLOOKUP($C$14,_Requeridos!$A$10:$A$20,_Requeridos!$Q$10:$Q$20,"")="SI",U22=""),"Ubicación técnica",""),IF(AND(_xlfn.XLOOKUP($C$14,_Requeridos!$A$10:$A$20,_Requeridos!$R$10:$R$20,"")="SI",X22=""),"Centro",""),IF(AND(_xlfn.XLOOKUP($C$14,_Requeridos!$A$10:$A$20,_Requeridos!$S$10:$S$20,"")="SI",Y22=""),"Código País",""),IF(AND(_xlfn.XLOOKUP($C$14,_Requeridos!$A$10:$A$20,_Requeridos!$T$10:$T$20,"")="SI",Z22=""),"Emplazamiento",""),IF(AND(_xlfn.XLOOKUP($C$14,_Requeridos!$A$10:$A$20,_Requeridos!$U$10:$U$20,"")="SI",AB22=""),"Centro de Costo",""),IF(AND(_xlfn.XLOOKUP($C$14,_Requeridos!$A$10:$A$20,_Requeridos!$V$10:$V$20,"")="SI",AC22=""),"Número de personal",""),IF(AND(_xlfn.XLOOKUP($C$14,_Requeridos!$A$10:$A$20,_Requeridos!$W$10:$W$20,"")="SI",AH22=""),"Valor Unitario","")),"✅ Completo"))</f>
        <v>✅ Completo</v>
      </c>
      <c r="AK22" s="52"/>
    </row>
    <row r="23" spans="1:37" s="37" customFormat="1" x14ac:dyDescent="0.35">
      <c r="A23" s="31"/>
      <c r="B23" s="56">
        <v>2</v>
      </c>
      <c r="C23" s="57"/>
      <c r="D23" s="57"/>
      <c r="E23" s="57"/>
      <c r="F23" s="57"/>
      <c r="G23" s="58" t="str">
        <f>IFERROR(_xlfn.XLOOKUP(F23,Clase!$C$2:$C$292,Clase!$B$2:$B$292,""),"")</f>
        <v/>
      </c>
      <c r="H23" s="57"/>
      <c r="I23" s="59"/>
      <c r="J23" s="57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7"/>
      <c r="AC23" s="57"/>
      <c r="AD23" s="58" t="str">
        <f>IFERROR(_xlfn.XLOOKUP(AB23,Ceco!$B$2:$B$901,Ceco!$C$2:$C$901,""),"")</f>
        <v/>
      </c>
      <c r="AE23" s="57"/>
      <c r="AF23" s="57"/>
      <c r="AG23" s="60"/>
      <c r="AH23" s="57"/>
      <c r="AI23" s="61"/>
      <c r="AJ23" s="62" t="str">
        <f>IF(COUNTA(C23,D23,E23,F23,H23,I23,L23,M23,N23,P23,Q23,R23,S23,T23,U23,X23,Y23,Z23,AB23,AC23,AH23)=0,"",IF(LEN(_xlfn.TEXTJOIN(", ",TRUE,IF(AND(_xlfn.XLOOKUP($C$14,_Requeridos!$A$10:$A$20,_Requeridos!$B$10:$B$20,"")="SI",C23=""),"Orden de Inversión",""),IF(AND(_xlfn.XLOOKUP($C$14,_Requeridos!$A$10:$A$20,_Requeridos!$C$10:$C$20,"")="SI",D23=""),"Elemento PEP",""),IF(AND(_xlfn.XLOOKUP($C$14,_Requeridos!$A$10:$A$20,_Requeridos!$D$10:$D$20,"")="SI",E23=""),"Pedido",""),IF(AND(_xlfn.XLOOKUP($C$14,_Requeridos!$A$10:$A$20,_Requeridos!$E$10:$E$20,"")="SI",F23=""),"Descripción Activo SAP",""),IF(AND(_xlfn.XLOOKUP($C$14,_Requeridos!$A$10:$A$20,_Requeridos!$F$10:$F$20,"")="SI",G23=""),"Clase",""),IF(AND(_xlfn.XLOOKUP($C$14,_Requeridos!$A$10:$A$20,_Requeridos!$G$10:$G$20,"")="SI",H23=""),"Cantidad",""),IF(AND(_xlfn.XLOOKUP($C$14,_Requeridos!$A$10:$A$20,_Requeridos!$H$10:$H$20,"")="SI",I23=""),"Nombre principal AF",""),IF(AND(_xlfn.XLOOKUP($C$14,_Requeridos!$A$10:$A$20,_Requeridos!$I$10:$I$20,"")="SI",L23=""),"Fabricante",""),IF(AND(_xlfn.XLOOKUP($C$14,_Requeridos!$A$10:$A$20,_Requeridos!$J$10:$J$20,"")="SI",M23=""),"Nit Proveedor",""),IF(AND(_xlfn.XLOOKUP($C$14,_Requeridos!$A$10:$A$20,_Requeridos!$K$10:$K$20,"")="SI",N23=""),"Serie",""),IF(AND(_xlfn.XLOOKUP($C$14,_Requeridos!$A$10:$A$20,_Requeridos!$L$10:$L$20,"")="SI",P23=""),"Criterio Clas. 1",""),IF(AND(_xlfn.XLOOKUP($C$14,_Requeridos!$A$10:$A$20,_Requeridos!$M$10:$M$20,"")="SI",Q23=""),"Criterio Clas. 2",""),IF(AND(_xlfn.XLOOKUP($C$14,_Requeridos!$A$10:$A$20,_Requeridos!$N$10:$N$20,"")="SI",R23=""),"Criterio Clas. 3",""),IF(AND(_xlfn.XLOOKUP($C$14,_Requeridos!$A$10:$A$20,_Requeridos!$O$10:$O$20,"")="SI",S23=""),"Criterio Clas. 4",""),IF(AND(_xlfn.XLOOKUP($C$14,_Requeridos!$A$10:$A$20,_Requeridos!$P$10:$P$20,"")="SI",T23=""),"Criterio Clas. 5",""),IF(AND(_xlfn.XLOOKUP($C$14,_Requeridos!$A$10:$A$20,_Requeridos!$Q$10:$Q$20,"")="SI",U23=""),"Ubicación técnica",""),IF(AND(_xlfn.XLOOKUP($C$14,_Requeridos!$A$10:$A$20,_Requeridos!$R$10:$R$20,"")="SI",X23=""),"Centro",""),IF(AND(_xlfn.XLOOKUP($C$14,_Requeridos!$A$10:$A$20,_Requeridos!$S$10:$S$20,"")="SI",Y23=""),"Código País",""),IF(AND(_xlfn.XLOOKUP($C$14,_Requeridos!$A$10:$A$20,_Requeridos!$T$10:$T$20,"")="SI",Z23=""),"Emplazamiento",""),IF(AND(_xlfn.XLOOKUP($C$14,_Requeridos!$A$10:$A$20,_Requeridos!$U$10:$U$20,"")="SI",AB23=""),"Centro de Costo",""),IF(AND(_xlfn.XLOOKUP($C$14,_Requeridos!$A$10:$A$20,_Requeridos!$V$10:$V$20,"")="SI",AC23=""),"Número de personal",""),IF(AND(_xlfn.XLOOKUP($C$14,_Requeridos!$A$10:$A$20,_Requeridos!$W$10:$W$20,"")="SI",AH23=""),"Valor Unitario","")))&gt;0,"⚠️ Faltan: "&amp;_xlfn.TEXTJOIN(", ",TRUE,IF(AND(_xlfn.XLOOKUP($C$14,_Requeridos!$A$10:$A$20,_Requeridos!$B$10:$B$20,"")="SI",C23=""),"Orden de Inversión",""),IF(AND(_xlfn.XLOOKUP($C$14,_Requeridos!$A$10:$A$20,_Requeridos!$C$10:$C$20,"")="SI",D23=""),"Elemento PEP",""),IF(AND(_xlfn.XLOOKUP($C$14,_Requeridos!$A$10:$A$20,_Requeridos!$D$10:$D$20,"")="SI",E23=""),"Pedido",""),IF(AND(_xlfn.XLOOKUP($C$14,_Requeridos!$A$10:$A$20,_Requeridos!$E$10:$E$20,"")="SI",F23=""),"Descripción Activo SAP",""),IF(AND(_xlfn.XLOOKUP($C$14,_Requeridos!$A$10:$A$20,_Requeridos!$F$10:$F$20,"")="SI",G23=""),"Clase",""),IF(AND(_xlfn.XLOOKUP($C$14,_Requeridos!$A$10:$A$20,_Requeridos!$G$10:$G$20,"")="SI",H23=""),"Cantidad",""),IF(AND(_xlfn.XLOOKUP($C$14,_Requeridos!$A$10:$A$20,_Requeridos!$H$10:$H$20,"")="SI",I23=""),"Nombre principal AF",""),IF(AND(_xlfn.XLOOKUP($C$14,_Requeridos!$A$10:$A$20,_Requeridos!$I$10:$I$20,"")="SI",L23=""),"Fabricante",""),IF(AND(_xlfn.XLOOKUP($C$14,_Requeridos!$A$10:$A$20,_Requeridos!$J$10:$J$20,"")="SI",M23=""),"Nit Proveedor",""),IF(AND(_xlfn.XLOOKUP($C$14,_Requeridos!$A$10:$A$20,_Requeridos!$K$10:$K$20,"")="SI",N23=""),"Serie",""),IF(AND(_xlfn.XLOOKUP($C$14,_Requeridos!$A$10:$A$20,_Requeridos!$L$10:$L$20,"")="SI",P23=""),"Criterio Clas. 1",""),IF(AND(_xlfn.XLOOKUP($C$14,_Requeridos!$A$10:$A$20,_Requeridos!$M$10:$M$20,"")="SI",Q23=""),"Criterio Clas. 2",""),IF(AND(_xlfn.XLOOKUP($C$14,_Requeridos!$A$10:$A$20,_Requeridos!$N$10:$N$20,"")="SI",R23=""),"Criterio Clas. 3",""),IF(AND(_xlfn.XLOOKUP($C$14,_Requeridos!$A$10:$A$20,_Requeridos!$O$10:$O$20,"")="SI",S23=""),"Criterio Clas. 4",""),IF(AND(_xlfn.XLOOKUP($C$14,_Requeridos!$A$10:$A$20,_Requeridos!$P$10:$P$20,"")="SI",T23=""),"Criterio Clas. 5",""),IF(AND(_xlfn.XLOOKUP($C$14,_Requeridos!$A$10:$A$20,_Requeridos!$Q$10:$Q$20,"")="SI",U23=""),"Ubicación técnica",""),IF(AND(_xlfn.XLOOKUP($C$14,_Requeridos!$A$10:$A$20,_Requeridos!$R$10:$R$20,"")="SI",X23=""),"Centro",""),IF(AND(_xlfn.XLOOKUP($C$14,_Requeridos!$A$10:$A$20,_Requeridos!$S$10:$S$20,"")="SI",Y23=""),"Código País",""),IF(AND(_xlfn.XLOOKUP($C$14,_Requeridos!$A$10:$A$20,_Requeridos!$T$10:$T$20,"")="SI",Z23=""),"Emplazamiento",""),IF(AND(_xlfn.XLOOKUP($C$14,_Requeridos!$A$10:$A$20,_Requeridos!$U$10:$U$20,"")="SI",AB23=""),"Centro de Costo",""),IF(AND(_xlfn.XLOOKUP($C$14,_Requeridos!$A$10:$A$20,_Requeridos!$V$10:$V$20,"")="SI",AC23=""),"Número de personal",""),IF(AND(_xlfn.XLOOKUP($C$14,_Requeridos!$A$10:$A$20,_Requeridos!$W$10:$W$20,"")="SI",AH23=""),"Valor Unitario","")),"✅ Completo"))</f>
        <v/>
      </c>
      <c r="AK23" s="52"/>
    </row>
    <row r="24" spans="1:37" s="37" customFormat="1" x14ac:dyDescent="0.35">
      <c r="A24" s="31"/>
      <c r="B24" s="56">
        <v>3</v>
      </c>
      <c r="C24" s="57"/>
      <c r="D24" s="57"/>
      <c r="E24" s="57"/>
      <c r="F24" s="57"/>
      <c r="G24" s="58" t="str">
        <f>IFERROR(_xlfn.XLOOKUP(F24,Clase!$C$2:$C$292,Clase!$B$2:$B$292,""),"")</f>
        <v/>
      </c>
      <c r="H24" s="57"/>
      <c r="I24" s="59"/>
      <c r="J24" s="57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7"/>
      <c r="AC24" s="57"/>
      <c r="AD24" s="58" t="str">
        <f>IFERROR(_xlfn.XLOOKUP(AB24,Ceco!$B$2:$B$901,Ceco!$C$2:$C$901,""),"")</f>
        <v/>
      </c>
      <c r="AE24" s="57"/>
      <c r="AF24" s="57"/>
      <c r="AG24" s="60"/>
      <c r="AH24" s="57"/>
      <c r="AI24" s="61"/>
      <c r="AJ24" s="62" t="str">
        <f>IF(COUNTA(C24,D24,E24,F24,H24,I24,L24,M24,N24,P24,Q24,R24,S24,T24,U24,X24,Y24,Z24,AB24,AC24,AH24)=0,"",IF(LEN(_xlfn.TEXTJOIN(", ",TRUE,IF(AND(_xlfn.XLOOKUP($C$14,_Requeridos!$A$10:$A$20,_Requeridos!$B$10:$B$20,"")="SI",C24=""),"Orden de Inversión",""),IF(AND(_xlfn.XLOOKUP($C$14,_Requeridos!$A$10:$A$20,_Requeridos!$C$10:$C$20,"")="SI",D24=""),"Elemento PEP",""),IF(AND(_xlfn.XLOOKUP($C$14,_Requeridos!$A$10:$A$20,_Requeridos!$D$10:$D$20,"")="SI",E24=""),"Pedido",""),IF(AND(_xlfn.XLOOKUP($C$14,_Requeridos!$A$10:$A$20,_Requeridos!$E$10:$E$20,"")="SI",F24=""),"Descripción Activo SAP",""),IF(AND(_xlfn.XLOOKUP($C$14,_Requeridos!$A$10:$A$20,_Requeridos!$F$10:$F$20,"")="SI",G24=""),"Clase",""),IF(AND(_xlfn.XLOOKUP($C$14,_Requeridos!$A$10:$A$20,_Requeridos!$G$10:$G$20,"")="SI",H24=""),"Cantidad",""),IF(AND(_xlfn.XLOOKUP($C$14,_Requeridos!$A$10:$A$20,_Requeridos!$H$10:$H$20,"")="SI",I24=""),"Nombre principal AF",""),IF(AND(_xlfn.XLOOKUP($C$14,_Requeridos!$A$10:$A$20,_Requeridos!$I$10:$I$20,"")="SI",L24=""),"Fabricante",""),IF(AND(_xlfn.XLOOKUP($C$14,_Requeridos!$A$10:$A$20,_Requeridos!$J$10:$J$20,"")="SI",M24=""),"Nit Proveedor",""),IF(AND(_xlfn.XLOOKUP($C$14,_Requeridos!$A$10:$A$20,_Requeridos!$K$10:$K$20,"")="SI",N24=""),"Serie",""),IF(AND(_xlfn.XLOOKUP($C$14,_Requeridos!$A$10:$A$20,_Requeridos!$L$10:$L$20,"")="SI",P24=""),"Criterio Clas. 1",""),IF(AND(_xlfn.XLOOKUP($C$14,_Requeridos!$A$10:$A$20,_Requeridos!$M$10:$M$20,"")="SI",Q24=""),"Criterio Clas. 2",""),IF(AND(_xlfn.XLOOKUP($C$14,_Requeridos!$A$10:$A$20,_Requeridos!$N$10:$N$20,"")="SI",R24=""),"Criterio Clas. 3",""),IF(AND(_xlfn.XLOOKUP($C$14,_Requeridos!$A$10:$A$20,_Requeridos!$O$10:$O$20,"")="SI",S24=""),"Criterio Clas. 4",""),IF(AND(_xlfn.XLOOKUP($C$14,_Requeridos!$A$10:$A$20,_Requeridos!$P$10:$P$20,"")="SI",T24=""),"Criterio Clas. 5",""),IF(AND(_xlfn.XLOOKUP($C$14,_Requeridos!$A$10:$A$20,_Requeridos!$Q$10:$Q$20,"")="SI",U24=""),"Ubicación técnica",""),IF(AND(_xlfn.XLOOKUP($C$14,_Requeridos!$A$10:$A$20,_Requeridos!$R$10:$R$20,"")="SI",X24=""),"Centro",""),IF(AND(_xlfn.XLOOKUP($C$14,_Requeridos!$A$10:$A$20,_Requeridos!$S$10:$S$20,"")="SI",Y24=""),"Código País",""),IF(AND(_xlfn.XLOOKUP($C$14,_Requeridos!$A$10:$A$20,_Requeridos!$T$10:$T$20,"")="SI",Z24=""),"Emplazamiento",""),IF(AND(_xlfn.XLOOKUP($C$14,_Requeridos!$A$10:$A$20,_Requeridos!$U$10:$U$20,"")="SI",AB24=""),"Centro de Costo",""),IF(AND(_xlfn.XLOOKUP($C$14,_Requeridos!$A$10:$A$20,_Requeridos!$V$10:$V$20,"")="SI",AC24=""),"Número de personal",""),IF(AND(_xlfn.XLOOKUP($C$14,_Requeridos!$A$10:$A$20,_Requeridos!$W$10:$W$20,"")="SI",AH24=""),"Valor Unitario","")))&gt;0,"⚠️ Faltan: "&amp;_xlfn.TEXTJOIN(", ",TRUE,IF(AND(_xlfn.XLOOKUP($C$14,_Requeridos!$A$10:$A$20,_Requeridos!$B$10:$B$20,"")="SI",C24=""),"Orden de Inversión",""),IF(AND(_xlfn.XLOOKUP($C$14,_Requeridos!$A$10:$A$20,_Requeridos!$C$10:$C$20,"")="SI",D24=""),"Elemento PEP",""),IF(AND(_xlfn.XLOOKUP($C$14,_Requeridos!$A$10:$A$20,_Requeridos!$D$10:$D$20,"")="SI",E24=""),"Pedido",""),IF(AND(_xlfn.XLOOKUP($C$14,_Requeridos!$A$10:$A$20,_Requeridos!$E$10:$E$20,"")="SI",F24=""),"Descripción Activo SAP",""),IF(AND(_xlfn.XLOOKUP($C$14,_Requeridos!$A$10:$A$20,_Requeridos!$F$10:$F$20,"")="SI",G24=""),"Clase",""),IF(AND(_xlfn.XLOOKUP($C$14,_Requeridos!$A$10:$A$20,_Requeridos!$G$10:$G$20,"")="SI",H24=""),"Cantidad",""),IF(AND(_xlfn.XLOOKUP($C$14,_Requeridos!$A$10:$A$20,_Requeridos!$H$10:$H$20,"")="SI",I24=""),"Nombre principal AF",""),IF(AND(_xlfn.XLOOKUP($C$14,_Requeridos!$A$10:$A$20,_Requeridos!$I$10:$I$20,"")="SI",L24=""),"Fabricante",""),IF(AND(_xlfn.XLOOKUP($C$14,_Requeridos!$A$10:$A$20,_Requeridos!$J$10:$J$20,"")="SI",M24=""),"Nit Proveedor",""),IF(AND(_xlfn.XLOOKUP($C$14,_Requeridos!$A$10:$A$20,_Requeridos!$K$10:$K$20,"")="SI",N24=""),"Serie",""),IF(AND(_xlfn.XLOOKUP($C$14,_Requeridos!$A$10:$A$20,_Requeridos!$L$10:$L$20,"")="SI",P24=""),"Criterio Clas. 1",""),IF(AND(_xlfn.XLOOKUP($C$14,_Requeridos!$A$10:$A$20,_Requeridos!$M$10:$M$20,"")="SI",Q24=""),"Criterio Clas. 2",""),IF(AND(_xlfn.XLOOKUP($C$14,_Requeridos!$A$10:$A$20,_Requeridos!$N$10:$N$20,"")="SI",R24=""),"Criterio Clas. 3",""),IF(AND(_xlfn.XLOOKUP($C$14,_Requeridos!$A$10:$A$20,_Requeridos!$O$10:$O$20,"")="SI",S24=""),"Criterio Clas. 4",""),IF(AND(_xlfn.XLOOKUP($C$14,_Requeridos!$A$10:$A$20,_Requeridos!$P$10:$P$20,"")="SI",T24=""),"Criterio Clas. 5",""),IF(AND(_xlfn.XLOOKUP($C$14,_Requeridos!$A$10:$A$20,_Requeridos!$Q$10:$Q$20,"")="SI",U24=""),"Ubicación técnica",""),IF(AND(_xlfn.XLOOKUP($C$14,_Requeridos!$A$10:$A$20,_Requeridos!$R$10:$R$20,"")="SI",X24=""),"Centro",""),IF(AND(_xlfn.XLOOKUP($C$14,_Requeridos!$A$10:$A$20,_Requeridos!$S$10:$S$20,"")="SI",Y24=""),"Código País",""),IF(AND(_xlfn.XLOOKUP($C$14,_Requeridos!$A$10:$A$20,_Requeridos!$T$10:$T$20,"")="SI",Z24=""),"Emplazamiento",""),IF(AND(_xlfn.XLOOKUP($C$14,_Requeridos!$A$10:$A$20,_Requeridos!$U$10:$U$20,"")="SI",AB24=""),"Centro de Costo",""),IF(AND(_xlfn.XLOOKUP($C$14,_Requeridos!$A$10:$A$20,_Requeridos!$V$10:$V$20,"")="SI",AC24=""),"Número de personal",""),IF(AND(_xlfn.XLOOKUP($C$14,_Requeridos!$A$10:$A$20,_Requeridos!$W$10:$W$20,"")="SI",AH24=""),"Valor Unitario","")),"✅ Completo"))</f>
        <v/>
      </c>
      <c r="AK24" s="52"/>
    </row>
    <row r="25" spans="1:37" s="37" customFormat="1" x14ac:dyDescent="0.35">
      <c r="A25" s="31"/>
      <c r="B25" s="56">
        <v>4</v>
      </c>
      <c r="C25" s="57"/>
      <c r="D25" s="57"/>
      <c r="E25" s="57"/>
      <c r="F25" s="57"/>
      <c r="G25" s="58" t="str">
        <f>IFERROR(_xlfn.XLOOKUP(F25,Clase!$C$2:$C$292,Clase!$B$2:$B$292,""),"")</f>
        <v/>
      </c>
      <c r="H25" s="57"/>
      <c r="I25" s="59"/>
      <c r="J25" s="57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7"/>
      <c r="AC25" s="57"/>
      <c r="AD25" s="58" t="str">
        <f>IFERROR(_xlfn.XLOOKUP(AB25,Ceco!$B$2:$B$901,Ceco!$C$2:$C$901,""),"")</f>
        <v/>
      </c>
      <c r="AE25" s="57"/>
      <c r="AF25" s="57"/>
      <c r="AG25" s="60"/>
      <c r="AH25" s="57"/>
      <c r="AI25" s="61"/>
      <c r="AJ25" s="62" t="str">
        <f>IF(COUNTA(C25,D25,E25,F25,H25,I25,L25,M25,N25,P25,Q25,R25,S25,T25,U25,X25,Y25,Z25,AB25,AC25,AH25)=0,"",IF(LEN(_xlfn.TEXTJOIN(", ",TRUE,IF(AND(_xlfn.XLOOKUP($C$14,_Requeridos!$A$10:$A$20,_Requeridos!$B$10:$B$20,"")="SI",C25=""),"Orden de Inversión",""),IF(AND(_xlfn.XLOOKUP($C$14,_Requeridos!$A$10:$A$20,_Requeridos!$C$10:$C$20,"")="SI",D25=""),"Elemento PEP",""),IF(AND(_xlfn.XLOOKUP($C$14,_Requeridos!$A$10:$A$20,_Requeridos!$D$10:$D$20,"")="SI",E25=""),"Pedido",""),IF(AND(_xlfn.XLOOKUP($C$14,_Requeridos!$A$10:$A$20,_Requeridos!$E$10:$E$20,"")="SI",F25=""),"Descripción Activo SAP",""),IF(AND(_xlfn.XLOOKUP($C$14,_Requeridos!$A$10:$A$20,_Requeridos!$F$10:$F$20,"")="SI",G25=""),"Clase",""),IF(AND(_xlfn.XLOOKUP($C$14,_Requeridos!$A$10:$A$20,_Requeridos!$G$10:$G$20,"")="SI",H25=""),"Cantidad",""),IF(AND(_xlfn.XLOOKUP($C$14,_Requeridos!$A$10:$A$20,_Requeridos!$H$10:$H$20,"")="SI",I25=""),"Nombre principal AF",""),IF(AND(_xlfn.XLOOKUP($C$14,_Requeridos!$A$10:$A$20,_Requeridos!$I$10:$I$20,"")="SI",L25=""),"Fabricante",""),IF(AND(_xlfn.XLOOKUP($C$14,_Requeridos!$A$10:$A$20,_Requeridos!$J$10:$J$20,"")="SI",M25=""),"Nit Proveedor",""),IF(AND(_xlfn.XLOOKUP($C$14,_Requeridos!$A$10:$A$20,_Requeridos!$K$10:$K$20,"")="SI",N25=""),"Serie",""),IF(AND(_xlfn.XLOOKUP($C$14,_Requeridos!$A$10:$A$20,_Requeridos!$L$10:$L$20,"")="SI",P25=""),"Criterio Clas. 1",""),IF(AND(_xlfn.XLOOKUP($C$14,_Requeridos!$A$10:$A$20,_Requeridos!$M$10:$M$20,"")="SI",Q25=""),"Criterio Clas. 2",""),IF(AND(_xlfn.XLOOKUP($C$14,_Requeridos!$A$10:$A$20,_Requeridos!$N$10:$N$20,"")="SI",R25=""),"Criterio Clas. 3",""),IF(AND(_xlfn.XLOOKUP($C$14,_Requeridos!$A$10:$A$20,_Requeridos!$O$10:$O$20,"")="SI",S25=""),"Criterio Clas. 4",""),IF(AND(_xlfn.XLOOKUP($C$14,_Requeridos!$A$10:$A$20,_Requeridos!$P$10:$P$20,"")="SI",T25=""),"Criterio Clas. 5",""),IF(AND(_xlfn.XLOOKUP($C$14,_Requeridos!$A$10:$A$20,_Requeridos!$Q$10:$Q$20,"")="SI",U25=""),"Ubicación técnica",""),IF(AND(_xlfn.XLOOKUP($C$14,_Requeridos!$A$10:$A$20,_Requeridos!$R$10:$R$20,"")="SI",X25=""),"Centro",""),IF(AND(_xlfn.XLOOKUP($C$14,_Requeridos!$A$10:$A$20,_Requeridos!$S$10:$S$20,"")="SI",Y25=""),"Código País",""),IF(AND(_xlfn.XLOOKUP($C$14,_Requeridos!$A$10:$A$20,_Requeridos!$T$10:$T$20,"")="SI",Z25=""),"Emplazamiento",""),IF(AND(_xlfn.XLOOKUP($C$14,_Requeridos!$A$10:$A$20,_Requeridos!$U$10:$U$20,"")="SI",AB25=""),"Centro de Costo",""),IF(AND(_xlfn.XLOOKUP($C$14,_Requeridos!$A$10:$A$20,_Requeridos!$V$10:$V$20,"")="SI",AC25=""),"Número de personal",""),IF(AND(_xlfn.XLOOKUP($C$14,_Requeridos!$A$10:$A$20,_Requeridos!$W$10:$W$20,"")="SI",AH25=""),"Valor Unitario","")))&gt;0,"⚠️ Faltan: "&amp;_xlfn.TEXTJOIN(", ",TRUE,IF(AND(_xlfn.XLOOKUP($C$14,_Requeridos!$A$10:$A$20,_Requeridos!$B$10:$B$20,"")="SI",C25=""),"Orden de Inversión",""),IF(AND(_xlfn.XLOOKUP($C$14,_Requeridos!$A$10:$A$20,_Requeridos!$C$10:$C$20,"")="SI",D25=""),"Elemento PEP",""),IF(AND(_xlfn.XLOOKUP($C$14,_Requeridos!$A$10:$A$20,_Requeridos!$D$10:$D$20,"")="SI",E25=""),"Pedido",""),IF(AND(_xlfn.XLOOKUP($C$14,_Requeridos!$A$10:$A$20,_Requeridos!$E$10:$E$20,"")="SI",F25=""),"Descripción Activo SAP",""),IF(AND(_xlfn.XLOOKUP($C$14,_Requeridos!$A$10:$A$20,_Requeridos!$F$10:$F$20,"")="SI",G25=""),"Clase",""),IF(AND(_xlfn.XLOOKUP($C$14,_Requeridos!$A$10:$A$20,_Requeridos!$G$10:$G$20,"")="SI",H25=""),"Cantidad",""),IF(AND(_xlfn.XLOOKUP($C$14,_Requeridos!$A$10:$A$20,_Requeridos!$H$10:$H$20,"")="SI",I25=""),"Nombre principal AF",""),IF(AND(_xlfn.XLOOKUP($C$14,_Requeridos!$A$10:$A$20,_Requeridos!$I$10:$I$20,"")="SI",L25=""),"Fabricante",""),IF(AND(_xlfn.XLOOKUP($C$14,_Requeridos!$A$10:$A$20,_Requeridos!$J$10:$J$20,"")="SI",M25=""),"Nit Proveedor",""),IF(AND(_xlfn.XLOOKUP($C$14,_Requeridos!$A$10:$A$20,_Requeridos!$K$10:$K$20,"")="SI",N25=""),"Serie",""),IF(AND(_xlfn.XLOOKUP($C$14,_Requeridos!$A$10:$A$20,_Requeridos!$L$10:$L$20,"")="SI",P25=""),"Criterio Clas. 1",""),IF(AND(_xlfn.XLOOKUP($C$14,_Requeridos!$A$10:$A$20,_Requeridos!$M$10:$M$20,"")="SI",Q25=""),"Criterio Clas. 2",""),IF(AND(_xlfn.XLOOKUP($C$14,_Requeridos!$A$10:$A$20,_Requeridos!$N$10:$N$20,"")="SI",R25=""),"Criterio Clas. 3",""),IF(AND(_xlfn.XLOOKUP($C$14,_Requeridos!$A$10:$A$20,_Requeridos!$O$10:$O$20,"")="SI",S25=""),"Criterio Clas. 4",""),IF(AND(_xlfn.XLOOKUP($C$14,_Requeridos!$A$10:$A$20,_Requeridos!$P$10:$P$20,"")="SI",T25=""),"Criterio Clas. 5",""),IF(AND(_xlfn.XLOOKUP($C$14,_Requeridos!$A$10:$A$20,_Requeridos!$Q$10:$Q$20,"")="SI",U25=""),"Ubicación técnica",""),IF(AND(_xlfn.XLOOKUP($C$14,_Requeridos!$A$10:$A$20,_Requeridos!$R$10:$R$20,"")="SI",X25=""),"Centro",""),IF(AND(_xlfn.XLOOKUP($C$14,_Requeridos!$A$10:$A$20,_Requeridos!$S$10:$S$20,"")="SI",Y25=""),"Código País",""),IF(AND(_xlfn.XLOOKUP($C$14,_Requeridos!$A$10:$A$20,_Requeridos!$T$10:$T$20,"")="SI",Z25=""),"Emplazamiento",""),IF(AND(_xlfn.XLOOKUP($C$14,_Requeridos!$A$10:$A$20,_Requeridos!$U$10:$U$20,"")="SI",AB25=""),"Centro de Costo",""),IF(AND(_xlfn.XLOOKUP($C$14,_Requeridos!$A$10:$A$20,_Requeridos!$V$10:$V$20,"")="SI",AC25=""),"Número de personal",""),IF(AND(_xlfn.XLOOKUP($C$14,_Requeridos!$A$10:$A$20,_Requeridos!$W$10:$W$20,"")="SI",AH25=""),"Valor Unitario","")),"✅ Completo"))</f>
        <v/>
      </c>
      <c r="AK25" s="52"/>
    </row>
    <row r="26" spans="1:37" s="37" customFormat="1" x14ac:dyDescent="0.35">
      <c r="A26" s="31"/>
      <c r="B26" s="56">
        <v>5</v>
      </c>
      <c r="C26" s="57"/>
      <c r="D26" s="57"/>
      <c r="E26" s="57"/>
      <c r="F26" s="57"/>
      <c r="G26" s="58" t="str">
        <f>IFERROR(_xlfn.XLOOKUP(F26,Clase!$C$2:$C$292,Clase!$B$2:$B$292,""),"")</f>
        <v/>
      </c>
      <c r="H26" s="57"/>
      <c r="I26" s="59"/>
      <c r="J26" s="57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7"/>
      <c r="AC26" s="57"/>
      <c r="AD26" s="58" t="str">
        <f>IFERROR(_xlfn.XLOOKUP(AB26,Ceco!$B$2:$B$901,Ceco!$C$2:$C$901,""),"")</f>
        <v/>
      </c>
      <c r="AE26" s="57"/>
      <c r="AF26" s="57"/>
      <c r="AG26" s="60"/>
      <c r="AH26" s="57"/>
      <c r="AI26" s="61"/>
      <c r="AJ26" s="62" t="str">
        <f>IF(COUNTA(C26,D26,E26,F26,H26,I26,L26,M26,N26,P26,Q26,R26,S26,T26,U26,X26,Y26,Z26,AB26,AC26,AH26)=0,"",IF(LEN(_xlfn.TEXTJOIN(", ",TRUE,IF(AND(_xlfn.XLOOKUP($C$14,_Requeridos!$A$10:$A$20,_Requeridos!$B$10:$B$20,"")="SI",C26=""),"Orden de Inversión",""),IF(AND(_xlfn.XLOOKUP($C$14,_Requeridos!$A$10:$A$20,_Requeridos!$C$10:$C$20,"")="SI",D26=""),"Elemento PEP",""),IF(AND(_xlfn.XLOOKUP($C$14,_Requeridos!$A$10:$A$20,_Requeridos!$D$10:$D$20,"")="SI",E26=""),"Pedido",""),IF(AND(_xlfn.XLOOKUP($C$14,_Requeridos!$A$10:$A$20,_Requeridos!$E$10:$E$20,"")="SI",F26=""),"Descripción Activo SAP",""),IF(AND(_xlfn.XLOOKUP($C$14,_Requeridos!$A$10:$A$20,_Requeridos!$F$10:$F$20,"")="SI",G26=""),"Clase",""),IF(AND(_xlfn.XLOOKUP($C$14,_Requeridos!$A$10:$A$20,_Requeridos!$G$10:$G$20,"")="SI",H26=""),"Cantidad",""),IF(AND(_xlfn.XLOOKUP($C$14,_Requeridos!$A$10:$A$20,_Requeridos!$H$10:$H$20,"")="SI",I26=""),"Nombre principal AF",""),IF(AND(_xlfn.XLOOKUP($C$14,_Requeridos!$A$10:$A$20,_Requeridos!$I$10:$I$20,"")="SI",L26=""),"Fabricante",""),IF(AND(_xlfn.XLOOKUP($C$14,_Requeridos!$A$10:$A$20,_Requeridos!$J$10:$J$20,"")="SI",M26=""),"Nit Proveedor",""),IF(AND(_xlfn.XLOOKUP($C$14,_Requeridos!$A$10:$A$20,_Requeridos!$K$10:$K$20,"")="SI",N26=""),"Serie",""),IF(AND(_xlfn.XLOOKUP($C$14,_Requeridos!$A$10:$A$20,_Requeridos!$L$10:$L$20,"")="SI",P26=""),"Criterio Clas. 1",""),IF(AND(_xlfn.XLOOKUP($C$14,_Requeridos!$A$10:$A$20,_Requeridos!$M$10:$M$20,"")="SI",Q26=""),"Criterio Clas. 2",""),IF(AND(_xlfn.XLOOKUP($C$14,_Requeridos!$A$10:$A$20,_Requeridos!$N$10:$N$20,"")="SI",R26=""),"Criterio Clas. 3",""),IF(AND(_xlfn.XLOOKUP($C$14,_Requeridos!$A$10:$A$20,_Requeridos!$O$10:$O$20,"")="SI",S26=""),"Criterio Clas. 4",""),IF(AND(_xlfn.XLOOKUP($C$14,_Requeridos!$A$10:$A$20,_Requeridos!$P$10:$P$20,"")="SI",T26=""),"Criterio Clas. 5",""),IF(AND(_xlfn.XLOOKUP($C$14,_Requeridos!$A$10:$A$20,_Requeridos!$Q$10:$Q$20,"")="SI",U26=""),"Ubicación técnica",""),IF(AND(_xlfn.XLOOKUP($C$14,_Requeridos!$A$10:$A$20,_Requeridos!$R$10:$R$20,"")="SI",X26=""),"Centro",""),IF(AND(_xlfn.XLOOKUP($C$14,_Requeridos!$A$10:$A$20,_Requeridos!$S$10:$S$20,"")="SI",Y26=""),"Código País",""),IF(AND(_xlfn.XLOOKUP($C$14,_Requeridos!$A$10:$A$20,_Requeridos!$T$10:$T$20,"")="SI",Z26=""),"Emplazamiento",""),IF(AND(_xlfn.XLOOKUP($C$14,_Requeridos!$A$10:$A$20,_Requeridos!$U$10:$U$20,"")="SI",AB26=""),"Centro de Costo",""),IF(AND(_xlfn.XLOOKUP($C$14,_Requeridos!$A$10:$A$20,_Requeridos!$V$10:$V$20,"")="SI",AC26=""),"Número de personal",""),IF(AND(_xlfn.XLOOKUP($C$14,_Requeridos!$A$10:$A$20,_Requeridos!$W$10:$W$20,"")="SI",AH26=""),"Valor Unitario","")))&gt;0,"⚠️ Faltan: "&amp;_xlfn.TEXTJOIN(", ",TRUE,IF(AND(_xlfn.XLOOKUP($C$14,_Requeridos!$A$10:$A$20,_Requeridos!$B$10:$B$20,"")="SI",C26=""),"Orden de Inversión",""),IF(AND(_xlfn.XLOOKUP($C$14,_Requeridos!$A$10:$A$20,_Requeridos!$C$10:$C$20,"")="SI",D26=""),"Elemento PEP",""),IF(AND(_xlfn.XLOOKUP($C$14,_Requeridos!$A$10:$A$20,_Requeridos!$D$10:$D$20,"")="SI",E26=""),"Pedido",""),IF(AND(_xlfn.XLOOKUP($C$14,_Requeridos!$A$10:$A$20,_Requeridos!$E$10:$E$20,"")="SI",F26=""),"Descripción Activo SAP",""),IF(AND(_xlfn.XLOOKUP($C$14,_Requeridos!$A$10:$A$20,_Requeridos!$F$10:$F$20,"")="SI",G26=""),"Clase",""),IF(AND(_xlfn.XLOOKUP($C$14,_Requeridos!$A$10:$A$20,_Requeridos!$G$10:$G$20,"")="SI",H26=""),"Cantidad",""),IF(AND(_xlfn.XLOOKUP($C$14,_Requeridos!$A$10:$A$20,_Requeridos!$H$10:$H$20,"")="SI",I26=""),"Nombre principal AF",""),IF(AND(_xlfn.XLOOKUP($C$14,_Requeridos!$A$10:$A$20,_Requeridos!$I$10:$I$20,"")="SI",L26=""),"Fabricante",""),IF(AND(_xlfn.XLOOKUP($C$14,_Requeridos!$A$10:$A$20,_Requeridos!$J$10:$J$20,"")="SI",M26=""),"Nit Proveedor",""),IF(AND(_xlfn.XLOOKUP($C$14,_Requeridos!$A$10:$A$20,_Requeridos!$K$10:$K$20,"")="SI",N26=""),"Serie",""),IF(AND(_xlfn.XLOOKUP($C$14,_Requeridos!$A$10:$A$20,_Requeridos!$L$10:$L$20,"")="SI",P26=""),"Criterio Clas. 1",""),IF(AND(_xlfn.XLOOKUP($C$14,_Requeridos!$A$10:$A$20,_Requeridos!$M$10:$M$20,"")="SI",Q26=""),"Criterio Clas. 2",""),IF(AND(_xlfn.XLOOKUP($C$14,_Requeridos!$A$10:$A$20,_Requeridos!$N$10:$N$20,"")="SI",R26=""),"Criterio Clas. 3",""),IF(AND(_xlfn.XLOOKUP($C$14,_Requeridos!$A$10:$A$20,_Requeridos!$O$10:$O$20,"")="SI",S26=""),"Criterio Clas. 4",""),IF(AND(_xlfn.XLOOKUP($C$14,_Requeridos!$A$10:$A$20,_Requeridos!$P$10:$P$20,"")="SI",T26=""),"Criterio Clas. 5",""),IF(AND(_xlfn.XLOOKUP($C$14,_Requeridos!$A$10:$A$20,_Requeridos!$Q$10:$Q$20,"")="SI",U26=""),"Ubicación técnica",""),IF(AND(_xlfn.XLOOKUP($C$14,_Requeridos!$A$10:$A$20,_Requeridos!$R$10:$R$20,"")="SI",X26=""),"Centro",""),IF(AND(_xlfn.XLOOKUP($C$14,_Requeridos!$A$10:$A$20,_Requeridos!$S$10:$S$20,"")="SI",Y26=""),"Código País",""),IF(AND(_xlfn.XLOOKUP($C$14,_Requeridos!$A$10:$A$20,_Requeridos!$T$10:$T$20,"")="SI",Z26=""),"Emplazamiento",""),IF(AND(_xlfn.XLOOKUP($C$14,_Requeridos!$A$10:$A$20,_Requeridos!$U$10:$U$20,"")="SI",AB26=""),"Centro de Costo",""),IF(AND(_xlfn.XLOOKUP($C$14,_Requeridos!$A$10:$A$20,_Requeridos!$V$10:$V$20,"")="SI",AC26=""),"Número de personal",""),IF(AND(_xlfn.XLOOKUP($C$14,_Requeridos!$A$10:$A$20,_Requeridos!$W$10:$W$20,"")="SI",AH26=""),"Valor Unitario","")),"✅ Completo"))</f>
        <v/>
      </c>
      <c r="AK26" s="52"/>
    </row>
    <row r="27" spans="1:37" s="37" customFormat="1" x14ac:dyDescent="0.35">
      <c r="A27" s="31"/>
      <c r="B27" s="56">
        <v>6</v>
      </c>
      <c r="C27" s="57"/>
      <c r="D27" s="57"/>
      <c r="E27" s="57"/>
      <c r="F27" s="57"/>
      <c r="G27" s="58" t="str">
        <f>IFERROR(_xlfn.XLOOKUP(F27,Clase!$C$2:$C$292,Clase!$B$2:$B$292,""),"")</f>
        <v/>
      </c>
      <c r="H27" s="57"/>
      <c r="I27" s="59"/>
      <c r="J27" s="57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7"/>
      <c r="AC27" s="57"/>
      <c r="AD27" s="58" t="str">
        <f>IFERROR(_xlfn.XLOOKUP(AB27,Ceco!$B$2:$B$901,Ceco!$C$2:$C$901,""),"")</f>
        <v/>
      </c>
      <c r="AE27" s="57"/>
      <c r="AF27" s="57"/>
      <c r="AG27" s="60"/>
      <c r="AH27" s="57"/>
      <c r="AI27" s="61"/>
      <c r="AJ27" s="62" t="str">
        <f>IF(COUNTA(C27,D27,E27,F27,H27,I27,L27,M27,N27,P27,Q27,R27,S27,T27,U27,X27,Y27,Z27,AB27,AC27,AH27)=0,"",IF(LEN(_xlfn.TEXTJOIN(", ",TRUE,IF(AND(_xlfn.XLOOKUP($C$14,_Requeridos!$A$10:$A$20,_Requeridos!$B$10:$B$20,"")="SI",C27=""),"Orden de Inversión",""),IF(AND(_xlfn.XLOOKUP($C$14,_Requeridos!$A$10:$A$20,_Requeridos!$C$10:$C$20,"")="SI",D27=""),"Elemento PEP",""),IF(AND(_xlfn.XLOOKUP($C$14,_Requeridos!$A$10:$A$20,_Requeridos!$D$10:$D$20,"")="SI",E27=""),"Pedido",""),IF(AND(_xlfn.XLOOKUP($C$14,_Requeridos!$A$10:$A$20,_Requeridos!$E$10:$E$20,"")="SI",F27=""),"Descripción Activo SAP",""),IF(AND(_xlfn.XLOOKUP($C$14,_Requeridos!$A$10:$A$20,_Requeridos!$F$10:$F$20,"")="SI",G27=""),"Clase",""),IF(AND(_xlfn.XLOOKUP($C$14,_Requeridos!$A$10:$A$20,_Requeridos!$G$10:$G$20,"")="SI",H27=""),"Cantidad",""),IF(AND(_xlfn.XLOOKUP($C$14,_Requeridos!$A$10:$A$20,_Requeridos!$H$10:$H$20,"")="SI",I27=""),"Nombre principal AF",""),IF(AND(_xlfn.XLOOKUP($C$14,_Requeridos!$A$10:$A$20,_Requeridos!$I$10:$I$20,"")="SI",L27=""),"Fabricante",""),IF(AND(_xlfn.XLOOKUP($C$14,_Requeridos!$A$10:$A$20,_Requeridos!$J$10:$J$20,"")="SI",M27=""),"Nit Proveedor",""),IF(AND(_xlfn.XLOOKUP($C$14,_Requeridos!$A$10:$A$20,_Requeridos!$K$10:$K$20,"")="SI",N27=""),"Serie",""),IF(AND(_xlfn.XLOOKUP($C$14,_Requeridos!$A$10:$A$20,_Requeridos!$L$10:$L$20,"")="SI",P27=""),"Criterio Clas. 1",""),IF(AND(_xlfn.XLOOKUP($C$14,_Requeridos!$A$10:$A$20,_Requeridos!$M$10:$M$20,"")="SI",Q27=""),"Criterio Clas. 2",""),IF(AND(_xlfn.XLOOKUP($C$14,_Requeridos!$A$10:$A$20,_Requeridos!$N$10:$N$20,"")="SI",R27=""),"Criterio Clas. 3",""),IF(AND(_xlfn.XLOOKUP($C$14,_Requeridos!$A$10:$A$20,_Requeridos!$O$10:$O$20,"")="SI",S27=""),"Criterio Clas. 4",""),IF(AND(_xlfn.XLOOKUP($C$14,_Requeridos!$A$10:$A$20,_Requeridos!$P$10:$P$20,"")="SI",T27=""),"Criterio Clas. 5",""),IF(AND(_xlfn.XLOOKUP($C$14,_Requeridos!$A$10:$A$20,_Requeridos!$Q$10:$Q$20,"")="SI",U27=""),"Ubicación técnica",""),IF(AND(_xlfn.XLOOKUP($C$14,_Requeridos!$A$10:$A$20,_Requeridos!$R$10:$R$20,"")="SI",X27=""),"Centro",""),IF(AND(_xlfn.XLOOKUP($C$14,_Requeridos!$A$10:$A$20,_Requeridos!$S$10:$S$20,"")="SI",Y27=""),"Código País",""),IF(AND(_xlfn.XLOOKUP($C$14,_Requeridos!$A$10:$A$20,_Requeridos!$T$10:$T$20,"")="SI",Z27=""),"Emplazamiento",""),IF(AND(_xlfn.XLOOKUP($C$14,_Requeridos!$A$10:$A$20,_Requeridos!$U$10:$U$20,"")="SI",AB27=""),"Centro de Costo",""),IF(AND(_xlfn.XLOOKUP($C$14,_Requeridos!$A$10:$A$20,_Requeridos!$V$10:$V$20,"")="SI",AC27=""),"Número de personal",""),IF(AND(_xlfn.XLOOKUP($C$14,_Requeridos!$A$10:$A$20,_Requeridos!$W$10:$W$20,"")="SI",AH27=""),"Valor Unitario","")))&gt;0,"⚠️ Faltan: "&amp;_xlfn.TEXTJOIN(", ",TRUE,IF(AND(_xlfn.XLOOKUP($C$14,_Requeridos!$A$10:$A$20,_Requeridos!$B$10:$B$20,"")="SI",C27=""),"Orden de Inversión",""),IF(AND(_xlfn.XLOOKUP($C$14,_Requeridos!$A$10:$A$20,_Requeridos!$C$10:$C$20,"")="SI",D27=""),"Elemento PEP",""),IF(AND(_xlfn.XLOOKUP($C$14,_Requeridos!$A$10:$A$20,_Requeridos!$D$10:$D$20,"")="SI",E27=""),"Pedido",""),IF(AND(_xlfn.XLOOKUP($C$14,_Requeridos!$A$10:$A$20,_Requeridos!$E$10:$E$20,"")="SI",F27=""),"Descripción Activo SAP",""),IF(AND(_xlfn.XLOOKUP($C$14,_Requeridos!$A$10:$A$20,_Requeridos!$F$10:$F$20,"")="SI",G27=""),"Clase",""),IF(AND(_xlfn.XLOOKUP($C$14,_Requeridos!$A$10:$A$20,_Requeridos!$G$10:$G$20,"")="SI",H27=""),"Cantidad",""),IF(AND(_xlfn.XLOOKUP($C$14,_Requeridos!$A$10:$A$20,_Requeridos!$H$10:$H$20,"")="SI",I27=""),"Nombre principal AF",""),IF(AND(_xlfn.XLOOKUP($C$14,_Requeridos!$A$10:$A$20,_Requeridos!$I$10:$I$20,"")="SI",L27=""),"Fabricante",""),IF(AND(_xlfn.XLOOKUP($C$14,_Requeridos!$A$10:$A$20,_Requeridos!$J$10:$J$20,"")="SI",M27=""),"Nit Proveedor",""),IF(AND(_xlfn.XLOOKUP($C$14,_Requeridos!$A$10:$A$20,_Requeridos!$K$10:$K$20,"")="SI",N27=""),"Serie",""),IF(AND(_xlfn.XLOOKUP($C$14,_Requeridos!$A$10:$A$20,_Requeridos!$L$10:$L$20,"")="SI",P27=""),"Criterio Clas. 1",""),IF(AND(_xlfn.XLOOKUP($C$14,_Requeridos!$A$10:$A$20,_Requeridos!$M$10:$M$20,"")="SI",Q27=""),"Criterio Clas. 2",""),IF(AND(_xlfn.XLOOKUP($C$14,_Requeridos!$A$10:$A$20,_Requeridos!$N$10:$N$20,"")="SI",R27=""),"Criterio Clas. 3",""),IF(AND(_xlfn.XLOOKUP($C$14,_Requeridos!$A$10:$A$20,_Requeridos!$O$10:$O$20,"")="SI",S27=""),"Criterio Clas. 4",""),IF(AND(_xlfn.XLOOKUP($C$14,_Requeridos!$A$10:$A$20,_Requeridos!$P$10:$P$20,"")="SI",T27=""),"Criterio Clas. 5",""),IF(AND(_xlfn.XLOOKUP($C$14,_Requeridos!$A$10:$A$20,_Requeridos!$Q$10:$Q$20,"")="SI",U27=""),"Ubicación técnica",""),IF(AND(_xlfn.XLOOKUP($C$14,_Requeridos!$A$10:$A$20,_Requeridos!$R$10:$R$20,"")="SI",X27=""),"Centro",""),IF(AND(_xlfn.XLOOKUP($C$14,_Requeridos!$A$10:$A$20,_Requeridos!$S$10:$S$20,"")="SI",Y27=""),"Código País",""),IF(AND(_xlfn.XLOOKUP($C$14,_Requeridos!$A$10:$A$20,_Requeridos!$T$10:$T$20,"")="SI",Z27=""),"Emplazamiento",""),IF(AND(_xlfn.XLOOKUP($C$14,_Requeridos!$A$10:$A$20,_Requeridos!$U$10:$U$20,"")="SI",AB27=""),"Centro de Costo",""),IF(AND(_xlfn.XLOOKUP($C$14,_Requeridos!$A$10:$A$20,_Requeridos!$V$10:$V$20,"")="SI",AC27=""),"Número de personal",""),IF(AND(_xlfn.XLOOKUP($C$14,_Requeridos!$A$10:$A$20,_Requeridos!$W$10:$W$20,"")="SI",AH27=""),"Valor Unitario","")),"✅ Completo"))</f>
        <v/>
      </c>
      <c r="AK27" s="52"/>
    </row>
    <row r="28" spans="1:37" s="37" customFormat="1" x14ac:dyDescent="0.35">
      <c r="A28" s="31"/>
      <c r="B28" s="56">
        <v>7</v>
      </c>
      <c r="C28" s="57"/>
      <c r="D28" s="57"/>
      <c r="E28" s="57"/>
      <c r="F28" s="57"/>
      <c r="G28" s="58" t="str">
        <f>IFERROR(_xlfn.XLOOKUP(F28,Clase!$C$2:$C$292,Clase!$B$2:$B$292,""),"")</f>
        <v/>
      </c>
      <c r="H28" s="57"/>
      <c r="I28" s="59"/>
      <c r="J28" s="57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7"/>
      <c r="AC28" s="57"/>
      <c r="AD28" s="58" t="str">
        <f>IFERROR(_xlfn.XLOOKUP(AB28,Ceco!$B$2:$B$901,Ceco!$C$2:$C$901,""),"")</f>
        <v/>
      </c>
      <c r="AE28" s="57"/>
      <c r="AF28" s="57"/>
      <c r="AG28" s="60"/>
      <c r="AH28" s="57"/>
      <c r="AI28" s="61"/>
      <c r="AJ28" s="62" t="str">
        <f>IF(COUNTA(C28,D28,E28,F28,H28,I28,L28,M28,N28,P28,Q28,R28,S28,T28,U28,X28,Y28,Z28,AB28,AC28,AH28)=0,"",IF(LEN(_xlfn.TEXTJOIN(", ",TRUE,IF(AND(_xlfn.XLOOKUP($C$14,_Requeridos!$A$10:$A$20,_Requeridos!$B$10:$B$20,"")="SI",C28=""),"Orden de Inversión",""),IF(AND(_xlfn.XLOOKUP($C$14,_Requeridos!$A$10:$A$20,_Requeridos!$C$10:$C$20,"")="SI",D28=""),"Elemento PEP",""),IF(AND(_xlfn.XLOOKUP($C$14,_Requeridos!$A$10:$A$20,_Requeridos!$D$10:$D$20,"")="SI",E28=""),"Pedido",""),IF(AND(_xlfn.XLOOKUP($C$14,_Requeridos!$A$10:$A$20,_Requeridos!$E$10:$E$20,"")="SI",F28=""),"Descripción Activo SAP",""),IF(AND(_xlfn.XLOOKUP($C$14,_Requeridos!$A$10:$A$20,_Requeridos!$F$10:$F$20,"")="SI",G28=""),"Clase",""),IF(AND(_xlfn.XLOOKUP($C$14,_Requeridos!$A$10:$A$20,_Requeridos!$G$10:$G$20,"")="SI",H28=""),"Cantidad",""),IF(AND(_xlfn.XLOOKUP($C$14,_Requeridos!$A$10:$A$20,_Requeridos!$H$10:$H$20,"")="SI",I28=""),"Nombre principal AF",""),IF(AND(_xlfn.XLOOKUP($C$14,_Requeridos!$A$10:$A$20,_Requeridos!$I$10:$I$20,"")="SI",L28=""),"Fabricante",""),IF(AND(_xlfn.XLOOKUP($C$14,_Requeridos!$A$10:$A$20,_Requeridos!$J$10:$J$20,"")="SI",M28=""),"Nit Proveedor",""),IF(AND(_xlfn.XLOOKUP($C$14,_Requeridos!$A$10:$A$20,_Requeridos!$K$10:$K$20,"")="SI",N28=""),"Serie",""),IF(AND(_xlfn.XLOOKUP($C$14,_Requeridos!$A$10:$A$20,_Requeridos!$L$10:$L$20,"")="SI",P28=""),"Criterio Clas. 1",""),IF(AND(_xlfn.XLOOKUP($C$14,_Requeridos!$A$10:$A$20,_Requeridos!$M$10:$M$20,"")="SI",Q28=""),"Criterio Clas. 2",""),IF(AND(_xlfn.XLOOKUP($C$14,_Requeridos!$A$10:$A$20,_Requeridos!$N$10:$N$20,"")="SI",R28=""),"Criterio Clas. 3",""),IF(AND(_xlfn.XLOOKUP($C$14,_Requeridos!$A$10:$A$20,_Requeridos!$O$10:$O$20,"")="SI",S28=""),"Criterio Clas. 4",""),IF(AND(_xlfn.XLOOKUP($C$14,_Requeridos!$A$10:$A$20,_Requeridos!$P$10:$P$20,"")="SI",T28=""),"Criterio Clas. 5",""),IF(AND(_xlfn.XLOOKUP($C$14,_Requeridos!$A$10:$A$20,_Requeridos!$Q$10:$Q$20,"")="SI",U28=""),"Ubicación técnica",""),IF(AND(_xlfn.XLOOKUP($C$14,_Requeridos!$A$10:$A$20,_Requeridos!$R$10:$R$20,"")="SI",X28=""),"Centro",""),IF(AND(_xlfn.XLOOKUP($C$14,_Requeridos!$A$10:$A$20,_Requeridos!$S$10:$S$20,"")="SI",Y28=""),"Código País",""),IF(AND(_xlfn.XLOOKUP($C$14,_Requeridos!$A$10:$A$20,_Requeridos!$T$10:$T$20,"")="SI",Z28=""),"Emplazamiento",""),IF(AND(_xlfn.XLOOKUP($C$14,_Requeridos!$A$10:$A$20,_Requeridos!$U$10:$U$20,"")="SI",AB28=""),"Centro de Costo",""),IF(AND(_xlfn.XLOOKUP($C$14,_Requeridos!$A$10:$A$20,_Requeridos!$V$10:$V$20,"")="SI",AC28=""),"Número de personal",""),IF(AND(_xlfn.XLOOKUP($C$14,_Requeridos!$A$10:$A$20,_Requeridos!$W$10:$W$20,"")="SI",AH28=""),"Valor Unitario","")))&gt;0,"⚠️ Faltan: "&amp;_xlfn.TEXTJOIN(", ",TRUE,IF(AND(_xlfn.XLOOKUP($C$14,_Requeridos!$A$10:$A$20,_Requeridos!$B$10:$B$20,"")="SI",C28=""),"Orden de Inversión",""),IF(AND(_xlfn.XLOOKUP($C$14,_Requeridos!$A$10:$A$20,_Requeridos!$C$10:$C$20,"")="SI",D28=""),"Elemento PEP",""),IF(AND(_xlfn.XLOOKUP($C$14,_Requeridos!$A$10:$A$20,_Requeridos!$D$10:$D$20,"")="SI",E28=""),"Pedido",""),IF(AND(_xlfn.XLOOKUP($C$14,_Requeridos!$A$10:$A$20,_Requeridos!$E$10:$E$20,"")="SI",F28=""),"Descripción Activo SAP",""),IF(AND(_xlfn.XLOOKUP($C$14,_Requeridos!$A$10:$A$20,_Requeridos!$F$10:$F$20,"")="SI",G28=""),"Clase",""),IF(AND(_xlfn.XLOOKUP($C$14,_Requeridos!$A$10:$A$20,_Requeridos!$G$10:$G$20,"")="SI",H28=""),"Cantidad",""),IF(AND(_xlfn.XLOOKUP($C$14,_Requeridos!$A$10:$A$20,_Requeridos!$H$10:$H$20,"")="SI",I28=""),"Nombre principal AF",""),IF(AND(_xlfn.XLOOKUP($C$14,_Requeridos!$A$10:$A$20,_Requeridos!$I$10:$I$20,"")="SI",L28=""),"Fabricante",""),IF(AND(_xlfn.XLOOKUP($C$14,_Requeridos!$A$10:$A$20,_Requeridos!$J$10:$J$20,"")="SI",M28=""),"Nit Proveedor",""),IF(AND(_xlfn.XLOOKUP($C$14,_Requeridos!$A$10:$A$20,_Requeridos!$K$10:$K$20,"")="SI",N28=""),"Serie",""),IF(AND(_xlfn.XLOOKUP($C$14,_Requeridos!$A$10:$A$20,_Requeridos!$L$10:$L$20,"")="SI",P28=""),"Criterio Clas. 1",""),IF(AND(_xlfn.XLOOKUP($C$14,_Requeridos!$A$10:$A$20,_Requeridos!$M$10:$M$20,"")="SI",Q28=""),"Criterio Clas. 2",""),IF(AND(_xlfn.XLOOKUP($C$14,_Requeridos!$A$10:$A$20,_Requeridos!$N$10:$N$20,"")="SI",R28=""),"Criterio Clas. 3",""),IF(AND(_xlfn.XLOOKUP($C$14,_Requeridos!$A$10:$A$20,_Requeridos!$O$10:$O$20,"")="SI",S28=""),"Criterio Clas. 4",""),IF(AND(_xlfn.XLOOKUP($C$14,_Requeridos!$A$10:$A$20,_Requeridos!$P$10:$P$20,"")="SI",T28=""),"Criterio Clas. 5",""),IF(AND(_xlfn.XLOOKUP($C$14,_Requeridos!$A$10:$A$20,_Requeridos!$Q$10:$Q$20,"")="SI",U28=""),"Ubicación técnica",""),IF(AND(_xlfn.XLOOKUP($C$14,_Requeridos!$A$10:$A$20,_Requeridos!$R$10:$R$20,"")="SI",X28=""),"Centro",""),IF(AND(_xlfn.XLOOKUP($C$14,_Requeridos!$A$10:$A$20,_Requeridos!$S$10:$S$20,"")="SI",Y28=""),"Código País",""),IF(AND(_xlfn.XLOOKUP($C$14,_Requeridos!$A$10:$A$20,_Requeridos!$T$10:$T$20,"")="SI",Z28=""),"Emplazamiento",""),IF(AND(_xlfn.XLOOKUP($C$14,_Requeridos!$A$10:$A$20,_Requeridos!$U$10:$U$20,"")="SI",AB28=""),"Centro de Costo",""),IF(AND(_xlfn.XLOOKUP($C$14,_Requeridos!$A$10:$A$20,_Requeridos!$V$10:$V$20,"")="SI",AC28=""),"Número de personal",""),IF(AND(_xlfn.XLOOKUP($C$14,_Requeridos!$A$10:$A$20,_Requeridos!$W$10:$W$20,"")="SI",AH28=""),"Valor Unitario","")),"✅ Completo"))</f>
        <v/>
      </c>
      <c r="AK28" s="52"/>
    </row>
    <row r="29" spans="1:37" s="37" customFormat="1" x14ac:dyDescent="0.35">
      <c r="A29" s="31"/>
      <c r="B29" s="56">
        <v>8</v>
      </c>
      <c r="C29" s="57"/>
      <c r="D29" s="57"/>
      <c r="E29" s="57"/>
      <c r="F29" s="57"/>
      <c r="G29" s="58" t="str">
        <f>IFERROR(_xlfn.XLOOKUP(F29,Clase!$C$2:$C$292,Clase!$B$2:$B$292,""),"")</f>
        <v/>
      </c>
      <c r="H29" s="57"/>
      <c r="I29" s="59"/>
      <c r="J29" s="57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7"/>
      <c r="AC29" s="57"/>
      <c r="AD29" s="58" t="str">
        <f>IFERROR(_xlfn.XLOOKUP(AB29,Ceco!$B$2:$B$901,Ceco!$C$2:$C$901,""),"")</f>
        <v/>
      </c>
      <c r="AE29" s="57"/>
      <c r="AF29" s="57"/>
      <c r="AG29" s="60"/>
      <c r="AH29" s="57"/>
      <c r="AI29" s="61"/>
      <c r="AJ29" s="62" t="str">
        <f>IF(COUNTA(C29,D29,E29,F29,H29,I29,L29,M29,N29,P29,Q29,R29,S29,T29,U29,X29,Y29,Z29,AB29,AC29,AH29)=0,"",IF(LEN(_xlfn.TEXTJOIN(", ",TRUE,IF(AND(_xlfn.XLOOKUP($C$14,_Requeridos!$A$10:$A$20,_Requeridos!$B$10:$B$20,"")="SI",C29=""),"Orden de Inversión",""),IF(AND(_xlfn.XLOOKUP($C$14,_Requeridos!$A$10:$A$20,_Requeridos!$C$10:$C$20,"")="SI",D29=""),"Elemento PEP",""),IF(AND(_xlfn.XLOOKUP($C$14,_Requeridos!$A$10:$A$20,_Requeridos!$D$10:$D$20,"")="SI",E29=""),"Pedido",""),IF(AND(_xlfn.XLOOKUP($C$14,_Requeridos!$A$10:$A$20,_Requeridos!$E$10:$E$20,"")="SI",F29=""),"Descripción Activo SAP",""),IF(AND(_xlfn.XLOOKUP($C$14,_Requeridos!$A$10:$A$20,_Requeridos!$F$10:$F$20,"")="SI",G29=""),"Clase",""),IF(AND(_xlfn.XLOOKUP($C$14,_Requeridos!$A$10:$A$20,_Requeridos!$G$10:$G$20,"")="SI",H29=""),"Cantidad",""),IF(AND(_xlfn.XLOOKUP($C$14,_Requeridos!$A$10:$A$20,_Requeridos!$H$10:$H$20,"")="SI",I29=""),"Nombre principal AF",""),IF(AND(_xlfn.XLOOKUP($C$14,_Requeridos!$A$10:$A$20,_Requeridos!$I$10:$I$20,"")="SI",L29=""),"Fabricante",""),IF(AND(_xlfn.XLOOKUP($C$14,_Requeridos!$A$10:$A$20,_Requeridos!$J$10:$J$20,"")="SI",M29=""),"Nit Proveedor",""),IF(AND(_xlfn.XLOOKUP($C$14,_Requeridos!$A$10:$A$20,_Requeridos!$K$10:$K$20,"")="SI",N29=""),"Serie",""),IF(AND(_xlfn.XLOOKUP($C$14,_Requeridos!$A$10:$A$20,_Requeridos!$L$10:$L$20,"")="SI",P29=""),"Criterio Clas. 1",""),IF(AND(_xlfn.XLOOKUP($C$14,_Requeridos!$A$10:$A$20,_Requeridos!$M$10:$M$20,"")="SI",Q29=""),"Criterio Clas. 2",""),IF(AND(_xlfn.XLOOKUP($C$14,_Requeridos!$A$10:$A$20,_Requeridos!$N$10:$N$20,"")="SI",R29=""),"Criterio Clas. 3",""),IF(AND(_xlfn.XLOOKUP($C$14,_Requeridos!$A$10:$A$20,_Requeridos!$O$10:$O$20,"")="SI",S29=""),"Criterio Clas. 4",""),IF(AND(_xlfn.XLOOKUP($C$14,_Requeridos!$A$10:$A$20,_Requeridos!$P$10:$P$20,"")="SI",T29=""),"Criterio Clas. 5",""),IF(AND(_xlfn.XLOOKUP($C$14,_Requeridos!$A$10:$A$20,_Requeridos!$Q$10:$Q$20,"")="SI",U29=""),"Ubicación técnica",""),IF(AND(_xlfn.XLOOKUP($C$14,_Requeridos!$A$10:$A$20,_Requeridos!$R$10:$R$20,"")="SI",X29=""),"Centro",""),IF(AND(_xlfn.XLOOKUP($C$14,_Requeridos!$A$10:$A$20,_Requeridos!$S$10:$S$20,"")="SI",Y29=""),"Código País",""),IF(AND(_xlfn.XLOOKUP($C$14,_Requeridos!$A$10:$A$20,_Requeridos!$T$10:$T$20,"")="SI",Z29=""),"Emplazamiento",""),IF(AND(_xlfn.XLOOKUP($C$14,_Requeridos!$A$10:$A$20,_Requeridos!$U$10:$U$20,"")="SI",AB29=""),"Centro de Costo",""),IF(AND(_xlfn.XLOOKUP($C$14,_Requeridos!$A$10:$A$20,_Requeridos!$V$10:$V$20,"")="SI",AC29=""),"Número de personal",""),IF(AND(_xlfn.XLOOKUP($C$14,_Requeridos!$A$10:$A$20,_Requeridos!$W$10:$W$20,"")="SI",AH29=""),"Valor Unitario","")))&gt;0,"⚠️ Faltan: "&amp;_xlfn.TEXTJOIN(", ",TRUE,IF(AND(_xlfn.XLOOKUP($C$14,_Requeridos!$A$10:$A$20,_Requeridos!$B$10:$B$20,"")="SI",C29=""),"Orden de Inversión",""),IF(AND(_xlfn.XLOOKUP($C$14,_Requeridos!$A$10:$A$20,_Requeridos!$C$10:$C$20,"")="SI",D29=""),"Elemento PEP",""),IF(AND(_xlfn.XLOOKUP($C$14,_Requeridos!$A$10:$A$20,_Requeridos!$D$10:$D$20,"")="SI",E29=""),"Pedido",""),IF(AND(_xlfn.XLOOKUP($C$14,_Requeridos!$A$10:$A$20,_Requeridos!$E$10:$E$20,"")="SI",F29=""),"Descripción Activo SAP",""),IF(AND(_xlfn.XLOOKUP($C$14,_Requeridos!$A$10:$A$20,_Requeridos!$F$10:$F$20,"")="SI",G29=""),"Clase",""),IF(AND(_xlfn.XLOOKUP($C$14,_Requeridos!$A$10:$A$20,_Requeridos!$G$10:$G$20,"")="SI",H29=""),"Cantidad",""),IF(AND(_xlfn.XLOOKUP($C$14,_Requeridos!$A$10:$A$20,_Requeridos!$H$10:$H$20,"")="SI",I29=""),"Nombre principal AF",""),IF(AND(_xlfn.XLOOKUP($C$14,_Requeridos!$A$10:$A$20,_Requeridos!$I$10:$I$20,"")="SI",L29=""),"Fabricante",""),IF(AND(_xlfn.XLOOKUP($C$14,_Requeridos!$A$10:$A$20,_Requeridos!$J$10:$J$20,"")="SI",M29=""),"Nit Proveedor",""),IF(AND(_xlfn.XLOOKUP($C$14,_Requeridos!$A$10:$A$20,_Requeridos!$K$10:$K$20,"")="SI",N29=""),"Serie",""),IF(AND(_xlfn.XLOOKUP($C$14,_Requeridos!$A$10:$A$20,_Requeridos!$L$10:$L$20,"")="SI",P29=""),"Criterio Clas. 1",""),IF(AND(_xlfn.XLOOKUP($C$14,_Requeridos!$A$10:$A$20,_Requeridos!$M$10:$M$20,"")="SI",Q29=""),"Criterio Clas. 2",""),IF(AND(_xlfn.XLOOKUP($C$14,_Requeridos!$A$10:$A$20,_Requeridos!$N$10:$N$20,"")="SI",R29=""),"Criterio Clas. 3",""),IF(AND(_xlfn.XLOOKUP($C$14,_Requeridos!$A$10:$A$20,_Requeridos!$O$10:$O$20,"")="SI",S29=""),"Criterio Clas. 4",""),IF(AND(_xlfn.XLOOKUP($C$14,_Requeridos!$A$10:$A$20,_Requeridos!$P$10:$P$20,"")="SI",T29=""),"Criterio Clas. 5",""),IF(AND(_xlfn.XLOOKUP($C$14,_Requeridos!$A$10:$A$20,_Requeridos!$Q$10:$Q$20,"")="SI",U29=""),"Ubicación técnica",""),IF(AND(_xlfn.XLOOKUP($C$14,_Requeridos!$A$10:$A$20,_Requeridos!$R$10:$R$20,"")="SI",X29=""),"Centro",""),IF(AND(_xlfn.XLOOKUP($C$14,_Requeridos!$A$10:$A$20,_Requeridos!$S$10:$S$20,"")="SI",Y29=""),"Código País",""),IF(AND(_xlfn.XLOOKUP($C$14,_Requeridos!$A$10:$A$20,_Requeridos!$T$10:$T$20,"")="SI",Z29=""),"Emplazamiento",""),IF(AND(_xlfn.XLOOKUP($C$14,_Requeridos!$A$10:$A$20,_Requeridos!$U$10:$U$20,"")="SI",AB29=""),"Centro de Costo",""),IF(AND(_xlfn.XLOOKUP($C$14,_Requeridos!$A$10:$A$20,_Requeridos!$V$10:$V$20,"")="SI",AC29=""),"Número de personal",""),IF(AND(_xlfn.XLOOKUP($C$14,_Requeridos!$A$10:$A$20,_Requeridos!$W$10:$W$20,"")="SI",AH29=""),"Valor Unitario","")),"✅ Completo"))</f>
        <v/>
      </c>
      <c r="AK29" s="52"/>
    </row>
    <row r="30" spans="1:37" s="37" customFormat="1" x14ac:dyDescent="0.35">
      <c r="A30" s="31"/>
      <c r="B30" s="56">
        <v>9</v>
      </c>
      <c r="C30" s="57"/>
      <c r="D30" s="57"/>
      <c r="E30" s="57"/>
      <c r="F30" s="57"/>
      <c r="G30" s="58" t="str">
        <f>IFERROR(_xlfn.XLOOKUP(F30,Clase!$C$2:$C$292,Clase!$B$2:$B$292,""),"")</f>
        <v/>
      </c>
      <c r="H30" s="57"/>
      <c r="I30" s="59"/>
      <c r="J30" s="57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7"/>
      <c r="AC30" s="57"/>
      <c r="AD30" s="58" t="str">
        <f>IFERROR(_xlfn.XLOOKUP(AB30,Ceco!$B$2:$B$901,Ceco!$C$2:$C$901,""),"")</f>
        <v/>
      </c>
      <c r="AE30" s="57"/>
      <c r="AF30" s="57"/>
      <c r="AG30" s="60"/>
      <c r="AH30" s="57"/>
      <c r="AI30" s="61"/>
      <c r="AJ30" s="62" t="str">
        <f>IF(COUNTA(C30,D30,E30,F30,H30,I30,L30,M30,N30,P30,Q30,R30,S30,T30,U30,X30,Y30,Z30,AB30,AC30,AH30)=0,"",IF(LEN(_xlfn.TEXTJOIN(", ",TRUE,IF(AND(_xlfn.XLOOKUP($C$14,_Requeridos!$A$10:$A$20,_Requeridos!$B$10:$B$20,"")="SI",C30=""),"Orden de Inversión",""),IF(AND(_xlfn.XLOOKUP($C$14,_Requeridos!$A$10:$A$20,_Requeridos!$C$10:$C$20,"")="SI",D30=""),"Elemento PEP",""),IF(AND(_xlfn.XLOOKUP($C$14,_Requeridos!$A$10:$A$20,_Requeridos!$D$10:$D$20,"")="SI",E30=""),"Pedido",""),IF(AND(_xlfn.XLOOKUP($C$14,_Requeridos!$A$10:$A$20,_Requeridos!$E$10:$E$20,"")="SI",F30=""),"Descripción Activo SAP",""),IF(AND(_xlfn.XLOOKUP($C$14,_Requeridos!$A$10:$A$20,_Requeridos!$F$10:$F$20,"")="SI",G30=""),"Clase",""),IF(AND(_xlfn.XLOOKUP($C$14,_Requeridos!$A$10:$A$20,_Requeridos!$G$10:$G$20,"")="SI",H30=""),"Cantidad",""),IF(AND(_xlfn.XLOOKUP($C$14,_Requeridos!$A$10:$A$20,_Requeridos!$H$10:$H$20,"")="SI",I30=""),"Nombre principal AF",""),IF(AND(_xlfn.XLOOKUP($C$14,_Requeridos!$A$10:$A$20,_Requeridos!$I$10:$I$20,"")="SI",L30=""),"Fabricante",""),IF(AND(_xlfn.XLOOKUP($C$14,_Requeridos!$A$10:$A$20,_Requeridos!$J$10:$J$20,"")="SI",M30=""),"Nit Proveedor",""),IF(AND(_xlfn.XLOOKUP($C$14,_Requeridos!$A$10:$A$20,_Requeridos!$K$10:$K$20,"")="SI",N30=""),"Serie",""),IF(AND(_xlfn.XLOOKUP($C$14,_Requeridos!$A$10:$A$20,_Requeridos!$L$10:$L$20,"")="SI",P30=""),"Criterio Clas. 1",""),IF(AND(_xlfn.XLOOKUP($C$14,_Requeridos!$A$10:$A$20,_Requeridos!$M$10:$M$20,"")="SI",Q30=""),"Criterio Clas. 2",""),IF(AND(_xlfn.XLOOKUP($C$14,_Requeridos!$A$10:$A$20,_Requeridos!$N$10:$N$20,"")="SI",R30=""),"Criterio Clas. 3",""),IF(AND(_xlfn.XLOOKUP($C$14,_Requeridos!$A$10:$A$20,_Requeridos!$O$10:$O$20,"")="SI",S30=""),"Criterio Clas. 4",""),IF(AND(_xlfn.XLOOKUP($C$14,_Requeridos!$A$10:$A$20,_Requeridos!$P$10:$P$20,"")="SI",T30=""),"Criterio Clas. 5",""),IF(AND(_xlfn.XLOOKUP($C$14,_Requeridos!$A$10:$A$20,_Requeridos!$Q$10:$Q$20,"")="SI",U30=""),"Ubicación técnica",""),IF(AND(_xlfn.XLOOKUP($C$14,_Requeridos!$A$10:$A$20,_Requeridos!$R$10:$R$20,"")="SI",X30=""),"Centro",""),IF(AND(_xlfn.XLOOKUP($C$14,_Requeridos!$A$10:$A$20,_Requeridos!$S$10:$S$20,"")="SI",Y30=""),"Código País",""),IF(AND(_xlfn.XLOOKUP($C$14,_Requeridos!$A$10:$A$20,_Requeridos!$T$10:$T$20,"")="SI",Z30=""),"Emplazamiento",""),IF(AND(_xlfn.XLOOKUP($C$14,_Requeridos!$A$10:$A$20,_Requeridos!$U$10:$U$20,"")="SI",AB30=""),"Centro de Costo",""),IF(AND(_xlfn.XLOOKUP($C$14,_Requeridos!$A$10:$A$20,_Requeridos!$V$10:$V$20,"")="SI",AC30=""),"Número de personal",""),IF(AND(_xlfn.XLOOKUP($C$14,_Requeridos!$A$10:$A$20,_Requeridos!$W$10:$W$20,"")="SI",AH30=""),"Valor Unitario","")))&gt;0,"⚠️ Faltan: "&amp;_xlfn.TEXTJOIN(", ",TRUE,IF(AND(_xlfn.XLOOKUP($C$14,_Requeridos!$A$10:$A$20,_Requeridos!$B$10:$B$20,"")="SI",C30=""),"Orden de Inversión",""),IF(AND(_xlfn.XLOOKUP($C$14,_Requeridos!$A$10:$A$20,_Requeridos!$C$10:$C$20,"")="SI",D30=""),"Elemento PEP",""),IF(AND(_xlfn.XLOOKUP($C$14,_Requeridos!$A$10:$A$20,_Requeridos!$D$10:$D$20,"")="SI",E30=""),"Pedido",""),IF(AND(_xlfn.XLOOKUP($C$14,_Requeridos!$A$10:$A$20,_Requeridos!$E$10:$E$20,"")="SI",F30=""),"Descripción Activo SAP",""),IF(AND(_xlfn.XLOOKUP($C$14,_Requeridos!$A$10:$A$20,_Requeridos!$F$10:$F$20,"")="SI",G30=""),"Clase",""),IF(AND(_xlfn.XLOOKUP($C$14,_Requeridos!$A$10:$A$20,_Requeridos!$G$10:$G$20,"")="SI",H30=""),"Cantidad",""),IF(AND(_xlfn.XLOOKUP($C$14,_Requeridos!$A$10:$A$20,_Requeridos!$H$10:$H$20,"")="SI",I30=""),"Nombre principal AF",""),IF(AND(_xlfn.XLOOKUP($C$14,_Requeridos!$A$10:$A$20,_Requeridos!$I$10:$I$20,"")="SI",L30=""),"Fabricante",""),IF(AND(_xlfn.XLOOKUP($C$14,_Requeridos!$A$10:$A$20,_Requeridos!$J$10:$J$20,"")="SI",M30=""),"Nit Proveedor",""),IF(AND(_xlfn.XLOOKUP($C$14,_Requeridos!$A$10:$A$20,_Requeridos!$K$10:$K$20,"")="SI",N30=""),"Serie",""),IF(AND(_xlfn.XLOOKUP($C$14,_Requeridos!$A$10:$A$20,_Requeridos!$L$10:$L$20,"")="SI",P30=""),"Criterio Clas. 1",""),IF(AND(_xlfn.XLOOKUP($C$14,_Requeridos!$A$10:$A$20,_Requeridos!$M$10:$M$20,"")="SI",Q30=""),"Criterio Clas. 2",""),IF(AND(_xlfn.XLOOKUP($C$14,_Requeridos!$A$10:$A$20,_Requeridos!$N$10:$N$20,"")="SI",R30=""),"Criterio Clas. 3",""),IF(AND(_xlfn.XLOOKUP($C$14,_Requeridos!$A$10:$A$20,_Requeridos!$O$10:$O$20,"")="SI",S30=""),"Criterio Clas. 4",""),IF(AND(_xlfn.XLOOKUP($C$14,_Requeridos!$A$10:$A$20,_Requeridos!$P$10:$P$20,"")="SI",T30=""),"Criterio Clas. 5",""),IF(AND(_xlfn.XLOOKUP($C$14,_Requeridos!$A$10:$A$20,_Requeridos!$Q$10:$Q$20,"")="SI",U30=""),"Ubicación técnica",""),IF(AND(_xlfn.XLOOKUP($C$14,_Requeridos!$A$10:$A$20,_Requeridos!$R$10:$R$20,"")="SI",X30=""),"Centro",""),IF(AND(_xlfn.XLOOKUP($C$14,_Requeridos!$A$10:$A$20,_Requeridos!$S$10:$S$20,"")="SI",Y30=""),"Código País",""),IF(AND(_xlfn.XLOOKUP($C$14,_Requeridos!$A$10:$A$20,_Requeridos!$T$10:$T$20,"")="SI",Z30=""),"Emplazamiento",""),IF(AND(_xlfn.XLOOKUP($C$14,_Requeridos!$A$10:$A$20,_Requeridos!$U$10:$U$20,"")="SI",AB30=""),"Centro de Costo",""),IF(AND(_xlfn.XLOOKUP($C$14,_Requeridos!$A$10:$A$20,_Requeridos!$V$10:$V$20,"")="SI",AC30=""),"Número de personal",""),IF(AND(_xlfn.XLOOKUP($C$14,_Requeridos!$A$10:$A$20,_Requeridos!$W$10:$W$20,"")="SI",AH30=""),"Valor Unitario","")),"✅ Completo"))</f>
        <v/>
      </c>
      <c r="AK30" s="52"/>
    </row>
    <row r="31" spans="1:37" s="37" customFormat="1" x14ac:dyDescent="0.35">
      <c r="A31" s="31"/>
      <c r="B31" s="56">
        <v>10</v>
      </c>
      <c r="C31" s="57"/>
      <c r="D31" s="57"/>
      <c r="E31" s="57"/>
      <c r="F31" s="57"/>
      <c r="G31" s="58" t="str">
        <f>IFERROR(_xlfn.XLOOKUP(F31,Clase!$C$2:$C$292,Clase!$B$2:$B$292,""),"")</f>
        <v/>
      </c>
      <c r="H31" s="57"/>
      <c r="I31" s="59"/>
      <c r="J31" s="57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7"/>
      <c r="AC31" s="57"/>
      <c r="AD31" s="58" t="str">
        <f>IFERROR(_xlfn.XLOOKUP(AB31,Ceco!$B$2:$B$901,Ceco!$C$2:$C$901,""),"")</f>
        <v/>
      </c>
      <c r="AE31" s="57"/>
      <c r="AF31" s="57"/>
      <c r="AG31" s="60"/>
      <c r="AH31" s="57"/>
      <c r="AI31" s="61"/>
      <c r="AJ31" s="62" t="str">
        <f>IF(COUNTA(C31,D31,E31,F31,H31,I31,L31,M31,N31,P31,Q31,R31,S31,T31,U31,X31,Y31,Z31,AB31,AC31,AH31)=0,"",IF(LEN(_xlfn.TEXTJOIN(", ",TRUE,IF(AND(_xlfn.XLOOKUP($C$14,_Requeridos!$A$10:$A$20,_Requeridos!$B$10:$B$20,"")="SI",C31=""),"Orden de Inversión",""),IF(AND(_xlfn.XLOOKUP($C$14,_Requeridos!$A$10:$A$20,_Requeridos!$C$10:$C$20,"")="SI",D31=""),"Elemento PEP",""),IF(AND(_xlfn.XLOOKUP($C$14,_Requeridos!$A$10:$A$20,_Requeridos!$D$10:$D$20,"")="SI",E31=""),"Pedido",""),IF(AND(_xlfn.XLOOKUP($C$14,_Requeridos!$A$10:$A$20,_Requeridos!$E$10:$E$20,"")="SI",F31=""),"Descripción Activo SAP",""),IF(AND(_xlfn.XLOOKUP($C$14,_Requeridos!$A$10:$A$20,_Requeridos!$F$10:$F$20,"")="SI",G31=""),"Clase",""),IF(AND(_xlfn.XLOOKUP($C$14,_Requeridos!$A$10:$A$20,_Requeridos!$G$10:$G$20,"")="SI",H31=""),"Cantidad",""),IF(AND(_xlfn.XLOOKUP($C$14,_Requeridos!$A$10:$A$20,_Requeridos!$H$10:$H$20,"")="SI",I31=""),"Nombre principal AF",""),IF(AND(_xlfn.XLOOKUP($C$14,_Requeridos!$A$10:$A$20,_Requeridos!$I$10:$I$20,"")="SI",L31=""),"Fabricante",""),IF(AND(_xlfn.XLOOKUP($C$14,_Requeridos!$A$10:$A$20,_Requeridos!$J$10:$J$20,"")="SI",M31=""),"Nit Proveedor",""),IF(AND(_xlfn.XLOOKUP($C$14,_Requeridos!$A$10:$A$20,_Requeridos!$K$10:$K$20,"")="SI",N31=""),"Serie",""),IF(AND(_xlfn.XLOOKUP($C$14,_Requeridos!$A$10:$A$20,_Requeridos!$L$10:$L$20,"")="SI",P31=""),"Criterio Clas. 1",""),IF(AND(_xlfn.XLOOKUP($C$14,_Requeridos!$A$10:$A$20,_Requeridos!$M$10:$M$20,"")="SI",Q31=""),"Criterio Clas. 2",""),IF(AND(_xlfn.XLOOKUP($C$14,_Requeridos!$A$10:$A$20,_Requeridos!$N$10:$N$20,"")="SI",R31=""),"Criterio Clas. 3",""),IF(AND(_xlfn.XLOOKUP($C$14,_Requeridos!$A$10:$A$20,_Requeridos!$O$10:$O$20,"")="SI",S31=""),"Criterio Clas. 4",""),IF(AND(_xlfn.XLOOKUP($C$14,_Requeridos!$A$10:$A$20,_Requeridos!$P$10:$P$20,"")="SI",T31=""),"Criterio Clas. 5",""),IF(AND(_xlfn.XLOOKUP($C$14,_Requeridos!$A$10:$A$20,_Requeridos!$Q$10:$Q$20,"")="SI",U31=""),"Ubicación técnica",""),IF(AND(_xlfn.XLOOKUP($C$14,_Requeridos!$A$10:$A$20,_Requeridos!$R$10:$R$20,"")="SI",X31=""),"Centro",""),IF(AND(_xlfn.XLOOKUP($C$14,_Requeridos!$A$10:$A$20,_Requeridos!$S$10:$S$20,"")="SI",Y31=""),"Código País",""),IF(AND(_xlfn.XLOOKUP($C$14,_Requeridos!$A$10:$A$20,_Requeridos!$T$10:$T$20,"")="SI",Z31=""),"Emplazamiento",""),IF(AND(_xlfn.XLOOKUP($C$14,_Requeridos!$A$10:$A$20,_Requeridos!$U$10:$U$20,"")="SI",AB31=""),"Centro de Costo",""),IF(AND(_xlfn.XLOOKUP($C$14,_Requeridos!$A$10:$A$20,_Requeridos!$V$10:$V$20,"")="SI",AC31=""),"Número de personal",""),IF(AND(_xlfn.XLOOKUP($C$14,_Requeridos!$A$10:$A$20,_Requeridos!$W$10:$W$20,"")="SI",AH31=""),"Valor Unitario","")))&gt;0,"⚠️ Faltan: "&amp;_xlfn.TEXTJOIN(", ",TRUE,IF(AND(_xlfn.XLOOKUP($C$14,_Requeridos!$A$10:$A$20,_Requeridos!$B$10:$B$20,"")="SI",C31=""),"Orden de Inversión",""),IF(AND(_xlfn.XLOOKUP($C$14,_Requeridos!$A$10:$A$20,_Requeridos!$C$10:$C$20,"")="SI",D31=""),"Elemento PEP",""),IF(AND(_xlfn.XLOOKUP($C$14,_Requeridos!$A$10:$A$20,_Requeridos!$D$10:$D$20,"")="SI",E31=""),"Pedido",""),IF(AND(_xlfn.XLOOKUP($C$14,_Requeridos!$A$10:$A$20,_Requeridos!$E$10:$E$20,"")="SI",F31=""),"Descripción Activo SAP",""),IF(AND(_xlfn.XLOOKUP($C$14,_Requeridos!$A$10:$A$20,_Requeridos!$F$10:$F$20,"")="SI",G31=""),"Clase",""),IF(AND(_xlfn.XLOOKUP($C$14,_Requeridos!$A$10:$A$20,_Requeridos!$G$10:$G$20,"")="SI",H31=""),"Cantidad",""),IF(AND(_xlfn.XLOOKUP($C$14,_Requeridos!$A$10:$A$20,_Requeridos!$H$10:$H$20,"")="SI",I31=""),"Nombre principal AF",""),IF(AND(_xlfn.XLOOKUP($C$14,_Requeridos!$A$10:$A$20,_Requeridos!$I$10:$I$20,"")="SI",L31=""),"Fabricante",""),IF(AND(_xlfn.XLOOKUP($C$14,_Requeridos!$A$10:$A$20,_Requeridos!$J$10:$J$20,"")="SI",M31=""),"Nit Proveedor",""),IF(AND(_xlfn.XLOOKUP($C$14,_Requeridos!$A$10:$A$20,_Requeridos!$K$10:$K$20,"")="SI",N31=""),"Serie",""),IF(AND(_xlfn.XLOOKUP($C$14,_Requeridos!$A$10:$A$20,_Requeridos!$L$10:$L$20,"")="SI",P31=""),"Criterio Clas. 1",""),IF(AND(_xlfn.XLOOKUP($C$14,_Requeridos!$A$10:$A$20,_Requeridos!$M$10:$M$20,"")="SI",Q31=""),"Criterio Clas. 2",""),IF(AND(_xlfn.XLOOKUP($C$14,_Requeridos!$A$10:$A$20,_Requeridos!$N$10:$N$20,"")="SI",R31=""),"Criterio Clas. 3",""),IF(AND(_xlfn.XLOOKUP($C$14,_Requeridos!$A$10:$A$20,_Requeridos!$O$10:$O$20,"")="SI",S31=""),"Criterio Clas. 4",""),IF(AND(_xlfn.XLOOKUP($C$14,_Requeridos!$A$10:$A$20,_Requeridos!$P$10:$P$20,"")="SI",T31=""),"Criterio Clas. 5",""),IF(AND(_xlfn.XLOOKUP($C$14,_Requeridos!$A$10:$A$20,_Requeridos!$Q$10:$Q$20,"")="SI",U31=""),"Ubicación técnica",""),IF(AND(_xlfn.XLOOKUP($C$14,_Requeridos!$A$10:$A$20,_Requeridos!$R$10:$R$20,"")="SI",X31=""),"Centro",""),IF(AND(_xlfn.XLOOKUP($C$14,_Requeridos!$A$10:$A$20,_Requeridos!$S$10:$S$20,"")="SI",Y31=""),"Código País",""),IF(AND(_xlfn.XLOOKUP($C$14,_Requeridos!$A$10:$A$20,_Requeridos!$T$10:$T$20,"")="SI",Z31=""),"Emplazamiento",""),IF(AND(_xlfn.XLOOKUP($C$14,_Requeridos!$A$10:$A$20,_Requeridos!$U$10:$U$20,"")="SI",AB31=""),"Centro de Costo",""),IF(AND(_xlfn.XLOOKUP($C$14,_Requeridos!$A$10:$A$20,_Requeridos!$V$10:$V$20,"")="SI",AC31=""),"Número de personal",""),IF(AND(_xlfn.XLOOKUP($C$14,_Requeridos!$A$10:$A$20,_Requeridos!$W$10:$W$20,"")="SI",AH31=""),"Valor Unitario","")),"✅ Completo"))</f>
        <v/>
      </c>
      <c r="AK31" s="52"/>
    </row>
    <row r="32" spans="1:37" s="37" customFormat="1" x14ac:dyDescent="0.35">
      <c r="A32" s="31"/>
      <c r="B32" s="56">
        <v>11</v>
      </c>
      <c r="C32" s="57"/>
      <c r="D32" s="57"/>
      <c r="E32" s="57"/>
      <c r="F32" s="57"/>
      <c r="G32" s="58" t="str">
        <f>IFERROR(_xlfn.XLOOKUP(F32,Clase!$C$2:$C$292,Clase!$B$2:$B$292,""),"")</f>
        <v/>
      </c>
      <c r="H32" s="57"/>
      <c r="I32" s="59"/>
      <c r="J32" s="57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7"/>
      <c r="AC32" s="57"/>
      <c r="AD32" s="58" t="str">
        <f>IFERROR(_xlfn.XLOOKUP(AB32,Ceco!$B$2:$B$901,Ceco!$C$2:$C$901,""),"")</f>
        <v/>
      </c>
      <c r="AE32" s="57"/>
      <c r="AF32" s="57"/>
      <c r="AG32" s="60"/>
      <c r="AH32" s="57"/>
      <c r="AI32" s="61"/>
      <c r="AJ32" s="62" t="str">
        <f>IF(COUNTA(C32,D32,E32,F32,H32,I32,L32,M32,N32,P32,Q32,R32,S32,T32,U32,X32,Y32,Z32,AB32,AC32,AH32)=0,"",IF(LEN(_xlfn.TEXTJOIN(", ",TRUE,IF(AND(_xlfn.XLOOKUP($C$14,_Requeridos!$A$10:$A$20,_Requeridos!$B$10:$B$20,"")="SI",C32=""),"Orden de Inversión",""),IF(AND(_xlfn.XLOOKUP($C$14,_Requeridos!$A$10:$A$20,_Requeridos!$C$10:$C$20,"")="SI",D32=""),"Elemento PEP",""),IF(AND(_xlfn.XLOOKUP($C$14,_Requeridos!$A$10:$A$20,_Requeridos!$D$10:$D$20,"")="SI",E32=""),"Pedido",""),IF(AND(_xlfn.XLOOKUP($C$14,_Requeridos!$A$10:$A$20,_Requeridos!$E$10:$E$20,"")="SI",F32=""),"Descripción Activo SAP",""),IF(AND(_xlfn.XLOOKUP($C$14,_Requeridos!$A$10:$A$20,_Requeridos!$F$10:$F$20,"")="SI",G32=""),"Clase",""),IF(AND(_xlfn.XLOOKUP($C$14,_Requeridos!$A$10:$A$20,_Requeridos!$G$10:$G$20,"")="SI",H32=""),"Cantidad",""),IF(AND(_xlfn.XLOOKUP($C$14,_Requeridos!$A$10:$A$20,_Requeridos!$H$10:$H$20,"")="SI",I32=""),"Nombre principal AF",""),IF(AND(_xlfn.XLOOKUP($C$14,_Requeridos!$A$10:$A$20,_Requeridos!$I$10:$I$20,"")="SI",L32=""),"Fabricante",""),IF(AND(_xlfn.XLOOKUP($C$14,_Requeridos!$A$10:$A$20,_Requeridos!$J$10:$J$20,"")="SI",M32=""),"Nit Proveedor",""),IF(AND(_xlfn.XLOOKUP($C$14,_Requeridos!$A$10:$A$20,_Requeridos!$K$10:$K$20,"")="SI",N32=""),"Serie",""),IF(AND(_xlfn.XLOOKUP($C$14,_Requeridos!$A$10:$A$20,_Requeridos!$L$10:$L$20,"")="SI",P32=""),"Criterio Clas. 1",""),IF(AND(_xlfn.XLOOKUP($C$14,_Requeridos!$A$10:$A$20,_Requeridos!$M$10:$M$20,"")="SI",Q32=""),"Criterio Clas. 2",""),IF(AND(_xlfn.XLOOKUP($C$14,_Requeridos!$A$10:$A$20,_Requeridos!$N$10:$N$20,"")="SI",R32=""),"Criterio Clas. 3",""),IF(AND(_xlfn.XLOOKUP($C$14,_Requeridos!$A$10:$A$20,_Requeridos!$O$10:$O$20,"")="SI",S32=""),"Criterio Clas. 4",""),IF(AND(_xlfn.XLOOKUP($C$14,_Requeridos!$A$10:$A$20,_Requeridos!$P$10:$P$20,"")="SI",T32=""),"Criterio Clas. 5",""),IF(AND(_xlfn.XLOOKUP($C$14,_Requeridos!$A$10:$A$20,_Requeridos!$Q$10:$Q$20,"")="SI",U32=""),"Ubicación técnica",""),IF(AND(_xlfn.XLOOKUP($C$14,_Requeridos!$A$10:$A$20,_Requeridos!$R$10:$R$20,"")="SI",X32=""),"Centro",""),IF(AND(_xlfn.XLOOKUP($C$14,_Requeridos!$A$10:$A$20,_Requeridos!$S$10:$S$20,"")="SI",Y32=""),"Código País",""),IF(AND(_xlfn.XLOOKUP($C$14,_Requeridos!$A$10:$A$20,_Requeridos!$T$10:$T$20,"")="SI",Z32=""),"Emplazamiento",""),IF(AND(_xlfn.XLOOKUP($C$14,_Requeridos!$A$10:$A$20,_Requeridos!$U$10:$U$20,"")="SI",AB32=""),"Centro de Costo",""),IF(AND(_xlfn.XLOOKUP($C$14,_Requeridos!$A$10:$A$20,_Requeridos!$V$10:$V$20,"")="SI",AC32=""),"Número de personal",""),IF(AND(_xlfn.XLOOKUP($C$14,_Requeridos!$A$10:$A$20,_Requeridos!$W$10:$W$20,"")="SI",AH32=""),"Valor Unitario","")))&gt;0,"⚠️ Faltan: "&amp;_xlfn.TEXTJOIN(", ",TRUE,IF(AND(_xlfn.XLOOKUP($C$14,_Requeridos!$A$10:$A$20,_Requeridos!$B$10:$B$20,"")="SI",C32=""),"Orden de Inversión",""),IF(AND(_xlfn.XLOOKUP($C$14,_Requeridos!$A$10:$A$20,_Requeridos!$C$10:$C$20,"")="SI",D32=""),"Elemento PEP",""),IF(AND(_xlfn.XLOOKUP($C$14,_Requeridos!$A$10:$A$20,_Requeridos!$D$10:$D$20,"")="SI",E32=""),"Pedido",""),IF(AND(_xlfn.XLOOKUP($C$14,_Requeridos!$A$10:$A$20,_Requeridos!$E$10:$E$20,"")="SI",F32=""),"Descripción Activo SAP",""),IF(AND(_xlfn.XLOOKUP($C$14,_Requeridos!$A$10:$A$20,_Requeridos!$F$10:$F$20,"")="SI",G32=""),"Clase",""),IF(AND(_xlfn.XLOOKUP($C$14,_Requeridos!$A$10:$A$20,_Requeridos!$G$10:$G$20,"")="SI",H32=""),"Cantidad",""),IF(AND(_xlfn.XLOOKUP($C$14,_Requeridos!$A$10:$A$20,_Requeridos!$H$10:$H$20,"")="SI",I32=""),"Nombre principal AF",""),IF(AND(_xlfn.XLOOKUP($C$14,_Requeridos!$A$10:$A$20,_Requeridos!$I$10:$I$20,"")="SI",L32=""),"Fabricante",""),IF(AND(_xlfn.XLOOKUP($C$14,_Requeridos!$A$10:$A$20,_Requeridos!$J$10:$J$20,"")="SI",M32=""),"Nit Proveedor",""),IF(AND(_xlfn.XLOOKUP($C$14,_Requeridos!$A$10:$A$20,_Requeridos!$K$10:$K$20,"")="SI",N32=""),"Serie",""),IF(AND(_xlfn.XLOOKUP($C$14,_Requeridos!$A$10:$A$20,_Requeridos!$L$10:$L$20,"")="SI",P32=""),"Criterio Clas. 1",""),IF(AND(_xlfn.XLOOKUP($C$14,_Requeridos!$A$10:$A$20,_Requeridos!$M$10:$M$20,"")="SI",Q32=""),"Criterio Clas. 2",""),IF(AND(_xlfn.XLOOKUP($C$14,_Requeridos!$A$10:$A$20,_Requeridos!$N$10:$N$20,"")="SI",R32=""),"Criterio Clas. 3",""),IF(AND(_xlfn.XLOOKUP($C$14,_Requeridos!$A$10:$A$20,_Requeridos!$O$10:$O$20,"")="SI",S32=""),"Criterio Clas. 4",""),IF(AND(_xlfn.XLOOKUP($C$14,_Requeridos!$A$10:$A$20,_Requeridos!$P$10:$P$20,"")="SI",T32=""),"Criterio Clas. 5",""),IF(AND(_xlfn.XLOOKUP($C$14,_Requeridos!$A$10:$A$20,_Requeridos!$Q$10:$Q$20,"")="SI",U32=""),"Ubicación técnica",""),IF(AND(_xlfn.XLOOKUP($C$14,_Requeridos!$A$10:$A$20,_Requeridos!$R$10:$R$20,"")="SI",X32=""),"Centro",""),IF(AND(_xlfn.XLOOKUP($C$14,_Requeridos!$A$10:$A$20,_Requeridos!$S$10:$S$20,"")="SI",Y32=""),"Código País",""),IF(AND(_xlfn.XLOOKUP($C$14,_Requeridos!$A$10:$A$20,_Requeridos!$T$10:$T$20,"")="SI",Z32=""),"Emplazamiento",""),IF(AND(_xlfn.XLOOKUP($C$14,_Requeridos!$A$10:$A$20,_Requeridos!$U$10:$U$20,"")="SI",AB32=""),"Centro de Costo",""),IF(AND(_xlfn.XLOOKUP($C$14,_Requeridos!$A$10:$A$20,_Requeridos!$V$10:$V$20,"")="SI",AC32=""),"Número de personal",""),IF(AND(_xlfn.XLOOKUP($C$14,_Requeridos!$A$10:$A$20,_Requeridos!$W$10:$W$20,"")="SI",AH32=""),"Valor Unitario","")),"✅ Completo"))</f>
        <v/>
      </c>
      <c r="AK32" s="52"/>
    </row>
    <row r="33" spans="1:37" s="37" customFormat="1" x14ac:dyDescent="0.35">
      <c r="A33" s="31"/>
      <c r="B33" s="56">
        <v>12</v>
      </c>
      <c r="C33" s="57"/>
      <c r="D33" s="57"/>
      <c r="E33" s="57"/>
      <c r="F33" s="57"/>
      <c r="G33" s="58" t="str">
        <f>IFERROR(_xlfn.XLOOKUP(F33,Clase!$C$2:$C$292,Clase!$B$2:$B$292,""),"")</f>
        <v/>
      </c>
      <c r="H33" s="57"/>
      <c r="I33" s="59"/>
      <c r="J33" s="57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7"/>
      <c r="AC33" s="57"/>
      <c r="AD33" s="58" t="str">
        <f>IFERROR(_xlfn.XLOOKUP(AB33,Ceco!$B$2:$B$901,Ceco!$C$2:$C$901,""),"")</f>
        <v/>
      </c>
      <c r="AE33" s="57"/>
      <c r="AF33" s="57"/>
      <c r="AG33" s="60"/>
      <c r="AH33" s="57"/>
      <c r="AI33" s="61"/>
      <c r="AJ33" s="62" t="str">
        <f>IF(COUNTA(C33,D33,E33,F33,H33,I33,L33,M33,N33,P33,Q33,R33,S33,T33,U33,X33,Y33,Z33,AB33,AC33,AH33)=0,"",IF(LEN(_xlfn.TEXTJOIN(", ",TRUE,IF(AND(_xlfn.XLOOKUP($C$14,_Requeridos!$A$10:$A$20,_Requeridos!$B$10:$B$20,"")="SI",C33=""),"Orden de Inversión",""),IF(AND(_xlfn.XLOOKUP($C$14,_Requeridos!$A$10:$A$20,_Requeridos!$C$10:$C$20,"")="SI",D33=""),"Elemento PEP",""),IF(AND(_xlfn.XLOOKUP($C$14,_Requeridos!$A$10:$A$20,_Requeridos!$D$10:$D$20,"")="SI",E33=""),"Pedido",""),IF(AND(_xlfn.XLOOKUP($C$14,_Requeridos!$A$10:$A$20,_Requeridos!$E$10:$E$20,"")="SI",F33=""),"Descripción Activo SAP",""),IF(AND(_xlfn.XLOOKUP($C$14,_Requeridos!$A$10:$A$20,_Requeridos!$F$10:$F$20,"")="SI",G33=""),"Clase",""),IF(AND(_xlfn.XLOOKUP($C$14,_Requeridos!$A$10:$A$20,_Requeridos!$G$10:$G$20,"")="SI",H33=""),"Cantidad",""),IF(AND(_xlfn.XLOOKUP($C$14,_Requeridos!$A$10:$A$20,_Requeridos!$H$10:$H$20,"")="SI",I33=""),"Nombre principal AF",""),IF(AND(_xlfn.XLOOKUP($C$14,_Requeridos!$A$10:$A$20,_Requeridos!$I$10:$I$20,"")="SI",L33=""),"Fabricante",""),IF(AND(_xlfn.XLOOKUP($C$14,_Requeridos!$A$10:$A$20,_Requeridos!$J$10:$J$20,"")="SI",M33=""),"Nit Proveedor",""),IF(AND(_xlfn.XLOOKUP($C$14,_Requeridos!$A$10:$A$20,_Requeridos!$K$10:$K$20,"")="SI",N33=""),"Serie",""),IF(AND(_xlfn.XLOOKUP($C$14,_Requeridos!$A$10:$A$20,_Requeridos!$L$10:$L$20,"")="SI",P33=""),"Criterio Clas. 1",""),IF(AND(_xlfn.XLOOKUP($C$14,_Requeridos!$A$10:$A$20,_Requeridos!$M$10:$M$20,"")="SI",Q33=""),"Criterio Clas. 2",""),IF(AND(_xlfn.XLOOKUP($C$14,_Requeridos!$A$10:$A$20,_Requeridos!$N$10:$N$20,"")="SI",R33=""),"Criterio Clas. 3",""),IF(AND(_xlfn.XLOOKUP($C$14,_Requeridos!$A$10:$A$20,_Requeridos!$O$10:$O$20,"")="SI",S33=""),"Criterio Clas. 4",""),IF(AND(_xlfn.XLOOKUP($C$14,_Requeridos!$A$10:$A$20,_Requeridos!$P$10:$P$20,"")="SI",T33=""),"Criterio Clas. 5",""),IF(AND(_xlfn.XLOOKUP($C$14,_Requeridos!$A$10:$A$20,_Requeridos!$Q$10:$Q$20,"")="SI",U33=""),"Ubicación técnica",""),IF(AND(_xlfn.XLOOKUP($C$14,_Requeridos!$A$10:$A$20,_Requeridos!$R$10:$R$20,"")="SI",X33=""),"Centro",""),IF(AND(_xlfn.XLOOKUP($C$14,_Requeridos!$A$10:$A$20,_Requeridos!$S$10:$S$20,"")="SI",Y33=""),"Código País",""),IF(AND(_xlfn.XLOOKUP($C$14,_Requeridos!$A$10:$A$20,_Requeridos!$T$10:$T$20,"")="SI",Z33=""),"Emplazamiento",""),IF(AND(_xlfn.XLOOKUP($C$14,_Requeridos!$A$10:$A$20,_Requeridos!$U$10:$U$20,"")="SI",AB33=""),"Centro de Costo",""),IF(AND(_xlfn.XLOOKUP($C$14,_Requeridos!$A$10:$A$20,_Requeridos!$V$10:$V$20,"")="SI",AC33=""),"Número de personal",""),IF(AND(_xlfn.XLOOKUP($C$14,_Requeridos!$A$10:$A$20,_Requeridos!$W$10:$W$20,"")="SI",AH33=""),"Valor Unitario","")))&gt;0,"⚠️ Faltan: "&amp;_xlfn.TEXTJOIN(", ",TRUE,IF(AND(_xlfn.XLOOKUP($C$14,_Requeridos!$A$10:$A$20,_Requeridos!$B$10:$B$20,"")="SI",C33=""),"Orden de Inversión",""),IF(AND(_xlfn.XLOOKUP($C$14,_Requeridos!$A$10:$A$20,_Requeridos!$C$10:$C$20,"")="SI",D33=""),"Elemento PEP",""),IF(AND(_xlfn.XLOOKUP($C$14,_Requeridos!$A$10:$A$20,_Requeridos!$D$10:$D$20,"")="SI",E33=""),"Pedido",""),IF(AND(_xlfn.XLOOKUP($C$14,_Requeridos!$A$10:$A$20,_Requeridos!$E$10:$E$20,"")="SI",F33=""),"Descripción Activo SAP",""),IF(AND(_xlfn.XLOOKUP($C$14,_Requeridos!$A$10:$A$20,_Requeridos!$F$10:$F$20,"")="SI",G33=""),"Clase",""),IF(AND(_xlfn.XLOOKUP($C$14,_Requeridos!$A$10:$A$20,_Requeridos!$G$10:$G$20,"")="SI",H33=""),"Cantidad",""),IF(AND(_xlfn.XLOOKUP($C$14,_Requeridos!$A$10:$A$20,_Requeridos!$H$10:$H$20,"")="SI",I33=""),"Nombre principal AF",""),IF(AND(_xlfn.XLOOKUP($C$14,_Requeridos!$A$10:$A$20,_Requeridos!$I$10:$I$20,"")="SI",L33=""),"Fabricante",""),IF(AND(_xlfn.XLOOKUP($C$14,_Requeridos!$A$10:$A$20,_Requeridos!$J$10:$J$20,"")="SI",M33=""),"Nit Proveedor",""),IF(AND(_xlfn.XLOOKUP($C$14,_Requeridos!$A$10:$A$20,_Requeridos!$K$10:$K$20,"")="SI",N33=""),"Serie",""),IF(AND(_xlfn.XLOOKUP($C$14,_Requeridos!$A$10:$A$20,_Requeridos!$L$10:$L$20,"")="SI",P33=""),"Criterio Clas. 1",""),IF(AND(_xlfn.XLOOKUP($C$14,_Requeridos!$A$10:$A$20,_Requeridos!$M$10:$M$20,"")="SI",Q33=""),"Criterio Clas. 2",""),IF(AND(_xlfn.XLOOKUP($C$14,_Requeridos!$A$10:$A$20,_Requeridos!$N$10:$N$20,"")="SI",R33=""),"Criterio Clas. 3",""),IF(AND(_xlfn.XLOOKUP($C$14,_Requeridos!$A$10:$A$20,_Requeridos!$O$10:$O$20,"")="SI",S33=""),"Criterio Clas. 4",""),IF(AND(_xlfn.XLOOKUP($C$14,_Requeridos!$A$10:$A$20,_Requeridos!$P$10:$P$20,"")="SI",T33=""),"Criterio Clas. 5",""),IF(AND(_xlfn.XLOOKUP($C$14,_Requeridos!$A$10:$A$20,_Requeridos!$Q$10:$Q$20,"")="SI",U33=""),"Ubicación técnica",""),IF(AND(_xlfn.XLOOKUP($C$14,_Requeridos!$A$10:$A$20,_Requeridos!$R$10:$R$20,"")="SI",X33=""),"Centro",""),IF(AND(_xlfn.XLOOKUP($C$14,_Requeridos!$A$10:$A$20,_Requeridos!$S$10:$S$20,"")="SI",Y33=""),"Código País",""),IF(AND(_xlfn.XLOOKUP($C$14,_Requeridos!$A$10:$A$20,_Requeridos!$T$10:$T$20,"")="SI",Z33=""),"Emplazamiento",""),IF(AND(_xlfn.XLOOKUP($C$14,_Requeridos!$A$10:$A$20,_Requeridos!$U$10:$U$20,"")="SI",AB33=""),"Centro de Costo",""),IF(AND(_xlfn.XLOOKUP($C$14,_Requeridos!$A$10:$A$20,_Requeridos!$V$10:$V$20,"")="SI",AC33=""),"Número de personal",""),IF(AND(_xlfn.XLOOKUP($C$14,_Requeridos!$A$10:$A$20,_Requeridos!$W$10:$W$20,"")="SI",AH33=""),"Valor Unitario","")),"✅ Completo"))</f>
        <v/>
      </c>
      <c r="AK33" s="52"/>
    </row>
    <row r="34" spans="1:37" s="37" customFormat="1" x14ac:dyDescent="0.35">
      <c r="A34" s="31"/>
      <c r="B34" s="56">
        <v>13</v>
      </c>
      <c r="C34" s="57"/>
      <c r="D34" s="57"/>
      <c r="E34" s="57"/>
      <c r="F34" s="57"/>
      <c r="G34" s="58" t="str">
        <f>IFERROR(_xlfn.XLOOKUP(F34,Clase!$C$2:$C$292,Clase!$B$2:$B$292,""),"")</f>
        <v/>
      </c>
      <c r="H34" s="57"/>
      <c r="I34" s="59"/>
      <c r="J34" s="57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7"/>
      <c r="AC34" s="57"/>
      <c r="AD34" s="58" t="str">
        <f>IFERROR(_xlfn.XLOOKUP(AB34,Ceco!$B$2:$B$901,Ceco!$C$2:$C$901,""),"")</f>
        <v/>
      </c>
      <c r="AE34" s="57"/>
      <c r="AF34" s="57"/>
      <c r="AG34" s="60"/>
      <c r="AH34" s="57"/>
      <c r="AI34" s="61"/>
      <c r="AJ34" s="62" t="str">
        <f>IF(COUNTA(C34,D34,E34,F34,H34,I34,L34,M34,N34,P34,Q34,R34,S34,T34,U34,X34,Y34,Z34,AB34,AC34,AH34)=0,"",IF(LEN(_xlfn.TEXTJOIN(", ",TRUE,IF(AND(_xlfn.XLOOKUP($C$14,_Requeridos!$A$10:$A$20,_Requeridos!$B$10:$B$20,"")="SI",C34=""),"Orden de Inversión",""),IF(AND(_xlfn.XLOOKUP($C$14,_Requeridos!$A$10:$A$20,_Requeridos!$C$10:$C$20,"")="SI",D34=""),"Elemento PEP",""),IF(AND(_xlfn.XLOOKUP($C$14,_Requeridos!$A$10:$A$20,_Requeridos!$D$10:$D$20,"")="SI",E34=""),"Pedido",""),IF(AND(_xlfn.XLOOKUP($C$14,_Requeridos!$A$10:$A$20,_Requeridos!$E$10:$E$20,"")="SI",F34=""),"Descripción Activo SAP",""),IF(AND(_xlfn.XLOOKUP($C$14,_Requeridos!$A$10:$A$20,_Requeridos!$F$10:$F$20,"")="SI",G34=""),"Clase",""),IF(AND(_xlfn.XLOOKUP($C$14,_Requeridos!$A$10:$A$20,_Requeridos!$G$10:$G$20,"")="SI",H34=""),"Cantidad",""),IF(AND(_xlfn.XLOOKUP($C$14,_Requeridos!$A$10:$A$20,_Requeridos!$H$10:$H$20,"")="SI",I34=""),"Nombre principal AF",""),IF(AND(_xlfn.XLOOKUP($C$14,_Requeridos!$A$10:$A$20,_Requeridos!$I$10:$I$20,"")="SI",L34=""),"Fabricante",""),IF(AND(_xlfn.XLOOKUP($C$14,_Requeridos!$A$10:$A$20,_Requeridos!$J$10:$J$20,"")="SI",M34=""),"Nit Proveedor",""),IF(AND(_xlfn.XLOOKUP($C$14,_Requeridos!$A$10:$A$20,_Requeridos!$K$10:$K$20,"")="SI",N34=""),"Serie",""),IF(AND(_xlfn.XLOOKUP($C$14,_Requeridos!$A$10:$A$20,_Requeridos!$L$10:$L$20,"")="SI",P34=""),"Criterio Clas. 1",""),IF(AND(_xlfn.XLOOKUP($C$14,_Requeridos!$A$10:$A$20,_Requeridos!$M$10:$M$20,"")="SI",Q34=""),"Criterio Clas. 2",""),IF(AND(_xlfn.XLOOKUP($C$14,_Requeridos!$A$10:$A$20,_Requeridos!$N$10:$N$20,"")="SI",R34=""),"Criterio Clas. 3",""),IF(AND(_xlfn.XLOOKUP($C$14,_Requeridos!$A$10:$A$20,_Requeridos!$O$10:$O$20,"")="SI",S34=""),"Criterio Clas. 4",""),IF(AND(_xlfn.XLOOKUP($C$14,_Requeridos!$A$10:$A$20,_Requeridos!$P$10:$P$20,"")="SI",T34=""),"Criterio Clas. 5",""),IF(AND(_xlfn.XLOOKUP($C$14,_Requeridos!$A$10:$A$20,_Requeridos!$Q$10:$Q$20,"")="SI",U34=""),"Ubicación técnica",""),IF(AND(_xlfn.XLOOKUP($C$14,_Requeridos!$A$10:$A$20,_Requeridos!$R$10:$R$20,"")="SI",X34=""),"Centro",""),IF(AND(_xlfn.XLOOKUP($C$14,_Requeridos!$A$10:$A$20,_Requeridos!$S$10:$S$20,"")="SI",Y34=""),"Código País",""),IF(AND(_xlfn.XLOOKUP($C$14,_Requeridos!$A$10:$A$20,_Requeridos!$T$10:$T$20,"")="SI",Z34=""),"Emplazamiento",""),IF(AND(_xlfn.XLOOKUP($C$14,_Requeridos!$A$10:$A$20,_Requeridos!$U$10:$U$20,"")="SI",AB34=""),"Centro de Costo",""),IF(AND(_xlfn.XLOOKUP($C$14,_Requeridos!$A$10:$A$20,_Requeridos!$V$10:$V$20,"")="SI",AC34=""),"Número de personal",""),IF(AND(_xlfn.XLOOKUP($C$14,_Requeridos!$A$10:$A$20,_Requeridos!$W$10:$W$20,"")="SI",AH34=""),"Valor Unitario","")))&gt;0,"⚠️ Faltan: "&amp;_xlfn.TEXTJOIN(", ",TRUE,IF(AND(_xlfn.XLOOKUP($C$14,_Requeridos!$A$10:$A$20,_Requeridos!$B$10:$B$20,"")="SI",C34=""),"Orden de Inversión",""),IF(AND(_xlfn.XLOOKUP($C$14,_Requeridos!$A$10:$A$20,_Requeridos!$C$10:$C$20,"")="SI",D34=""),"Elemento PEP",""),IF(AND(_xlfn.XLOOKUP($C$14,_Requeridos!$A$10:$A$20,_Requeridos!$D$10:$D$20,"")="SI",E34=""),"Pedido",""),IF(AND(_xlfn.XLOOKUP($C$14,_Requeridos!$A$10:$A$20,_Requeridos!$E$10:$E$20,"")="SI",F34=""),"Descripción Activo SAP",""),IF(AND(_xlfn.XLOOKUP($C$14,_Requeridos!$A$10:$A$20,_Requeridos!$F$10:$F$20,"")="SI",G34=""),"Clase",""),IF(AND(_xlfn.XLOOKUP($C$14,_Requeridos!$A$10:$A$20,_Requeridos!$G$10:$G$20,"")="SI",H34=""),"Cantidad",""),IF(AND(_xlfn.XLOOKUP($C$14,_Requeridos!$A$10:$A$20,_Requeridos!$H$10:$H$20,"")="SI",I34=""),"Nombre principal AF",""),IF(AND(_xlfn.XLOOKUP($C$14,_Requeridos!$A$10:$A$20,_Requeridos!$I$10:$I$20,"")="SI",L34=""),"Fabricante",""),IF(AND(_xlfn.XLOOKUP($C$14,_Requeridos!$A$10:$A$20,_Requeridos!$J$10:$J$20,"")="SI",M34=""),"Nit Proveedor",""),IF(AND(_xlfn.XLOOKUP($C$14,_Requeridos!$A$10:$A$20,_Requeridos!$K$10:$K$20,"")="SI",N34=""),"Serie",""),IF(AND(_xlfn.XLOOKUP($C$14,_Requeridos!$A$10:$A$20,_Requeridos!$L$10:$L$20,"")="SI",P34=""),"Criterio Clas. 1",""),IF(AND(_xlfn.XLOOKUP($C$14,_Requeridos!$A$10:$A$20,_Requeridos!$M$10:$M$20,"")="SI",Q34=""),"Criterio Clas. 2",""),IF(AND(_xlfn.XLOOKUP($C$14,_Requeridos!$A$10:$A$20,_Requeridos!$N$10:$N$20,"")="SI",R34=""),"Criterio Clas. 3",""),IF(AND(_xlfn.XLOOKUP($C$14,_Requeridos!$A$10:$A$20,_Requeridos!$O$10:$O$20,"")="SI",S34=""),"Criterio Clas. 4",""),IF(AND(_xlfn.XLOOKUP($C$14,_Requeridos!$A$10:$A$20,_Requeridos!$P$10:$P$20,"")="SI",T34=""),"Criterio Clas. 5",""),IF(AND(_xlfn.XLOOKUP($C$14,_Requeridos!$A$10:$A$20,_Requeridos!$Q$10:$Q$20,"")="SI",U34=""),"Ubicación técnica",""),IF(AND(_xlfn.XLOOKUP($C$14,_Requeridos!$A$10:$A$20,_Requeridos!$R$10:$R$20,"")="SI",X34=""),"Centro",""),IF(AND(_xlfn.XLOOKUP($C$14,_Requeridos!$A$10:$A$20,_Requeridos!$S$10:$S$20,"")="SI",Y34=""),"Código País",""),IF(AND(_xlfn.XLOOKUP($C$14,_Requeridos!$A$10:$A$20,_Requeridos!$T$10:$T$20,"")="SI",Z34=""),"Emplazamiento",""),IF(AND(_xlfn.XLOOKUP($C$14,_Requeridos!$A$10:$A$20,_Requeridos!$U$10:$U$20,"")="SI",AB34=""),"Centro de Costo",""),IF(AND(_xlfn.XLOOKUP($C$14,_Requeridos!$A$10:$A$20,_Requeridos!$V$10:$V$20,"")="SI",AC34=""),"Número de personal",""),IF(AND(_xlfn.XLOOKUP($C$14,_Requeridos!$A$10:$A$20,_Requeridos!$W$10:$W$20,"")="SI",AH34=""),"Valor Unitario","")),"✅ Completo"))</f>
        <v/>
      </c>
      <c r="AK34" s="52"/>
    </row>
    <row r="35" spans="1:37" s="37" customFormat="1" x14ac:dyDescent="0.35">
      <c r="A35" s="31"/>
      <c r="B35" s="56">
        <v>14</v>
      </c>
      <c r="C35" s="57"/>
      <c r="D35" s="57"/>
      <c r="E35" s="57"/>
      <c r="F35" s="57"/>
      <c r="G35" s="58" t="str">
        <f>IFERROR(_xlfn.XLOOKUP(F35,Clase!$C$2:$C$292,Clase!$B$2:$B$292,""),"")</f>
        <v/>
      </c>
      <c r="H35" s="57"/>
      <c r="I35" s="59"/>
      <c r="J35" s="57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7"/>
      <c r="AC35" s="57"/>
      <c r="AD35" s="58" t="str">
        <f>IFERROR(_xlfn.XLOOKUP(AB35,Ceco!$B$2:$B$901,Ceco!$C$2:$C$901,""),"")</f>
        <v/>
      </c>
      <c r="AE35" s="57"/>
      <c r="AF35" s="57"/>
      <c r="AG35" s="60"/>
      <c r="AH35" s="57"/>
      <c r="AI35" s="61"/>
      <c r="AJ35" s="62" t="str">
        <f>IF(COUNTA(C35,D35,E35,F35,H35,I35,L35,M35,N35,P35,Q35,R35,S35,T35,U35,X35,Y35,Z35,AB35,AC35,AH35)=0,"",IF(LEN(_xlfn.TEXTJOIN(", ",TRUE,IF(AND(_xlfn.XLOOKUP($C$14,_Requeridos!$A$10:$A$20,_Requeridos!$B$10:$B$20,"")="SI",C35=""),"Orden de Inversión",""),IF(AND(_xlfn.XLOOKUP($C$14,_Requeridos!$A$10:$A$20,_Requeridos!$C$10:$C$20,"")="SI",D35=""),"Elemento PEP",""),IF(AND(_xlfn.XLOOKUP($C$14,_Requeridos!$A$10:$A$20,_Requeridos!$D$10:$D$20,"")="SI",E35=""),"Pedido",""),IF(AND(_xlfn.XLOOKUP($C$14,_Requeridos!$A$10:$A$20,_Requeridos!$E$10:$E$20,"")="SI",F35=""),"Descripción Activo SAP",""),IF(AND(_xlfn.XLOOKUP($C$14,_Requeridos!$A$10:$A$20,_Requeridos!$F$10:$F$20,"")="SI",G35=""),"Clase",""),IF(AND(_xlfn.XLOOKUP($C$14,_Requeridos!$A$10:$A$20,_Requeridos!$G$10:$G$20,"")="SI",H35=""),"Cantidad",""),IF(AND(_xlfn.XLOOKUP($C$14,_Requeridos!$A$10:$A$20,_Requeridos!$H$10:$H$20,"")="SI",I35=""),"Nombre principal AF",""),IF(AND(_xlfn.XLOOKUP($C$14,_Requeridos!$A$10:$A$20,_Requeridos!$I$10:$I$20,"")="SI",L35=""),"Fabricante",""),IF(AND(_xlfn.XLOOKUP($C$14,_Requeridos!$A$10:$A$20,_Requeridos!$J$10:$J$20,"")="SI",M35=""),"Nit Proveedor",""),IF(AND(_xlfn.XLOOKUP($C$14,_Requeridos!$A$10:$A$20,_Requeridos!$K$10:$K$20,"")="SI",N35=""),"Serie",""),IF(AND(_xlfn.XLOOKUP($C$14,_Requeridos!$A$10:$A$20,_Requeridos!$L$10:$L$20,"")="SI",P35=""),"Criterio Clas. 1",""),IF(AND(_xlfn.XLOOKUP($C$14,_Requeridos!$A$10:$A$20,_Requeridos!$M$10:$M$20,"")="SI",Q35=""),"Criterio Clas. 2",""),IF(AND(_xlfn.XLOOKUP($C$14,_Requeridos!$A$10:$A$20,_Requeridos!$N$10:$N$20,"")="SI",R35=""),"Criterio Clas. 3",""),IF(AND(_xlfn.XLOOKUP($C$14,_Requeridos!$A$10:$A$20,_Requeridos!$O$10:$O$20,"")="SI",S35=""),"Criterio Clas. 4",""),IF(AND(_xlfn.XLOOKUP($C$14,_Requeridos!$A$10:$A$20,_Requeridos!$P$10:$P$20,"")="SI",T35=""),"Criterio Clas. 5",""),IF(AND(_xlfn.XLOOKUP($C$14,_Requeridos!$A$10:$A$20,_Requeridos!$Q$10:$Q$20,"")="SI",U35=""),"Ubicación técnica",""),IF(AND(_xlfn.XLOOKUP($C$14,_Requeridos!$A$10:$A$20,_Requeridos!$R$10:$R$20,"")="SI",X35=""),"Centro",""),IF(AND(_xlfn.XLOOKUP($C$14,_Requeridos!$A$10:$A$20,_Requeridos!$S$10:$S$20,"")="SI",Y35=""),"Código País",""),IF(AND(_xlfn.XLOOKUP($C$14,_Requeridos!$A$10:$A$20,_Requeridos!$T$10:$T$20,"")="SI",Z35=""),"Emplazamiento",""),IF(AND(_xlfn.XLOOKUP($C$14,_Requeridos!$A$10:$A$20,_Requeridos!$U$10:$U$20,"")="SI",AB35=""),"Centro de Costo",""),IF(AND(_xlfn.XLOOKUP($C$14,_Requeridos!$A$10:$A$20,_Requeridos!$V$10:$V$20,"")="SI",AC35=""),"Número de personal",""),IF(AND(_xlfn.XLOOKUP($C$14,_Requeridos!$A$10:$A$20,_Requeridos!$W$10:$W$20,"")="SI",AH35=""),"Valor Unitario","")))&gt;0,"⚠️ Faltan: "&amp;_xlfn.TEXTJOIN(", ",TRUE,IF(AND(_xlfn.XLOOKUP($C$14,_Requeridos!$A$10:$A$20,_Requeridos!$B$10:$B$20,"")="SI",C35=""),"Orden de Inversión",""),IF(AND(_xlfn.XLOOKUP($C$14,_Requeridos!$A$10:$A$20,_Requeridos!$C$10:$C$20,"")="SI",D35=""),"Elemento PEP",""),IF(AND(_xlfn.XLOOKUP($C$14,_Requeridos!$A$10:$A$20,_Requeridos!$D$10:$D$20,"")="SI",E35=""),"Pedido",""),IF(AND(_xlfn.XLOOKUP($C$14,_Requeridos!$A$10:$A$20,_Requeridos!$E$10:$E$20,"")="SI",F35=""),"Descripción Activo SAP",""),IF(AND(_xlfn.XLOOKUP($C$14,_Requeridos!$A$10:$A$20,_Requeridos!$F$10:$F$20,"")="SI",G35=""),"Clase",""),IF(AND(_xlfn.XLOOKUP($C$14,_Requeridos!$A$10:$A$20,_Requeridos!$G$10:$G$20,"")="SI",H35=""),"Cantidad",""),IF(AND(_xlfn.XLOOKUP($C$14,_Requeridos!$A$10:$A$20,_Requeridos!$H$10:$H$20,"")="SI",I35=""),"Nombre principal AF",""),IF(AND(_xlfn.XLOOKUP($C$14,_Requeridos!$A$10:$A$20,_Requeridos!$I$10:$I$20,"")="SI",L35=""),"Fabricante",""),IF(AND(_xlfn.XLOOKUP($C$14,_Requeridos!$A$10:$A$20,_Requeridos!$J$10:$J$20,"")="SI",M35=""),"Nit Proveedor",""),IF(AND(_xlfn.XLOOKUP($C$14,_Requeridos!$A$10:$A$20,_Requeridos!$K$10:$K$20,"")="SI",N35=""),"Serie",""),IF(AND(_xlfn.XLOOKUP($C$14,_Requeridos!$A$10:$A$20,_Requeridos!$L$10:$L$20,"")="SI",P35=""),"Criterio Clas. 1",""),IF(AND(_xlfn.XLOOKUP($C$14,_Requeridos!$A$10:$A$20,_Requeridos!$M$10:$M$20,"")="SI",Q35=""),"Criterio Clas. 2",""),IF(AND(_xlfn.XLOOKUP($C$14,_Requeridos!$A$10:$A$20,_Requeridos!$N$10:$N$20,"")="SI",R35=""),"Criterio Clas. 3",""),IF(AND(_xlfn.XLOOKUP($C$14,_Requeridos!$A$10:$A$20,_Requeridos!$O$10:$O$20,"")="SI",S35=""),"Criterio Clas. 4",""),IF(AND(_xlfn.XLOOKUP($C$14,_Requeridos!$A$10:$A$20,_Requeridos!$P$10:$P$20,"")="SI",T35=""),"Criterio Clas. 5",""),IF(AND(_xlfn.XLOOKUP($C$14,_Requeridos!$A$10:$A$20,_Requeridos!$Q$10:$Q$20,"")="SI",U35=""),"Ubicación técnica",""),IF(AND(_xlfn.XLOOKUP($C$14,_Requeridos!$A$10:$A$20,_Requeridos!$R$10:$R$20,"")="SI",X35=""),"Centro",""),IF(AND(_xlfn.XLOOKUP($C$14,_Requeridos!$A$10:$A$20,_Requeridos!$S$10:$S$20,"")="SI",Y35=""),"Código País",""),IF(AND(_xlfn.XLOOKUP($C$14,_Requeridos!$A$10:$A$20,_Requeridos!$T$10:$T$20,"")="SI",Z35=""),"Emplazamiento",""),IF(AND(_xlfn.XLOOKUP($C$14,_Requeridos!$A$10:$A$20,_Requeridos!$U$10:$U$20,"")="SI",AB35=""),"Centro de Costo",""),IF(AND(_xlfn.XLOOKUP($C$14,_Requeridos!$A$10:$A$20,_Requeridos!$V$10:$V$20,"")="SI",AC35=""),"Número de personal",""),IF(AND(_xlfn.XLOOKUP($C$14,_Requeridos!$A$10:$A$20,_Requeridos!$W$10:$W$20,"")="SI",AH35=""),"Valor Unitario","")),"✅ Completo"))</f>
        <v/>
      </c>
      <c r="AK35" s="52"/>
    </row>
    <row r="36" spans="1:37" s="37" customFormat="1" x14ac:dyDescent="0.35">
      <c r="A36" s="31"/>
      <c r="B36" s="56">
        <v>15</v>
      </c>
      <c r="C36" s="57"/>
      <c r="D36" s="57"/>
      <c r="E36" s="57"/>
      <c r="F36" s="57"/>
      <c r="G36" s="58" t="str">
        <f>IFERROR(_xlfn.XLOOKUP(F36,Clase!$C$2:$C$292,Clase!$B$2:$B$292,""),"")</f>
        <v/>
      </c>
      <c r="H36" s="57"/>
      <c r="I36" s="59"/>
      <c r="J36" s="57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7"/>
      <c r="AC36" s="57"/>
      <c r="AD36" s="58" t="str">
        <f>IFERROR(_xlfn.XLOOKUP(AB36,Ceco!$B$2:$B$901,Ceco!$C$2:$C$901,""),"")</f>
        <v/>
      </c>
      <c r="AE36" s="57"/>
      <c r="AF36" s="57"/>
      <c r="AG36" s="60"/>
      <c r="AH36" s="57"/>
      <c r="AI36" s="61"/>
      <c r="AJ36" s="62" t="str">
        <f>IF(COUNTA(C36,D36,E36,F36,H36,I36,L36,M36,N36,P36,Q36,R36,S36,T36,U36,X36,Y36,Z36,AB36,AC36,AH36)=0,"",IF(LEN(_xlfn.TEXTJOIN(", ",TRUE,IF(AND(_xlfn.XLOOKUP($C$14,_Requeridos!$A$10:$A$20,_Requeridos!$B$10:$B$20,"")="SI",C36=""),"Orden de Inversión",""),IF(AND(_xlfn.XLOOKUP($C$14,_Requeridos!$A$10:$A$20,_Requeridos!$C$10:$C$20,"")="SI",D36=""),"Elemento PEP",""),IF(AND(_xlfn.XLOOKUP($C$14,_Requeridos!$A$10:$A$20,_Requeridos!$D$10:$D$20,"")="SI",E36=""),"Pedido",""),IF(AND(_xlfn.XLOOKUP($C$14,_Requeridos!$A$10:$A$20,_Requeridos!$E$10:$E$20,"")="SI",F36=""),"Descripción Activo SAP",""),IF(AND(_xlfn.XLOOKUP($C$14,_Requeridos!$A$10:$A$20,_Requeridos!$F$10:$F$20,"")="SI",G36=""),"Clase",""),IF(AND(_xlfn.XLOOKUP($C$14,_Requeridos!$A$10:$A$20,_Requeridos!$G$10:$G$20,"")="SI",H36=""),"Cantidad",""),IF(AND(_xlfn.XLOOKUP($C$14,_Requeridos!$A$10:$A$20,_Requeridos!$H$10:$H$20,"")="SI",I36=""),"Nombre principal AF",""),IF(AND(_xlfn.XLOOKUP($C$14,_Requeridos!$A$10:$A$20,_Requeridos!$I$10:$I$20,"")="SI",L36=""),"Fabricante",""),IF(AND(_xlfn.XLOOKUP($C$14,_Requeridos!$A$10:$A$20,_Requeridos!$J$10:$J$20,"")="SI",M36=""),"Nit Proveedor",""),IF(AND(_xlfn.XLOOKUP($C$14,_Requeridos!$A$10:$A$20,_Requeridos!$K$10:$K$20,"")="SI",N36=""),"Serie",""),IF(AND(_xlfn.XLOOKUP($C$14,_Requeridos!$A$10:$A$20,_Requeridos!$L$10:$L$20,"")="SI",P36=""),"Criterio Clas. 1",""),IF(AND(_xlfn.XLOOKUP($C$14,_Requeridos!$A$10:$A$20,_Requeridos!$M$10:$M$20,"")="SI",Q36=""),"Criterio Clas. 2",""),IF(AND(_xlfn.XLOOKUP($C$14,_Requeridos!$A$10:$A$20,_Requeridos!$N$10:$N$20,"")="SI",R36=""),"Criterio Clas. 3",""),IF(AND(_xlfn.XLOOKUP($C$14,_Requeridos!$A$10:$A$20,_Requeridos!$O$10:$O$20,"")="SI",S36=""),"Criterio Clas. 4",""),IF(AND(_xlfn.XLOOKUP($C$14,_Requeridos!$A$10:$A$20,_Requeridos!$P$10:$P$20,"")="SI",T36=""),"Criterio Clas. 5",""),IF(AND(_xlfn.XLOOKUP($C$14,_Requeridos!$A$10:$A$20,_Requeridos!$Q$10:$Q$20,"")="SI",U36=""),"Ubicación técnica",""),IF(AND(_xlfn.XLOOKUP($C$14,_Requeridos!$A$10:$A$20,_Requeridos!$R$10:$R$20,"")="SI",X36=""),"Centro",""),IF(AND(_xlfn.XLOOKUP($C$14,_Requeridos!$A$10:$A$20,_Requeridos!$S$10:$S$20,"")="SI",Y36=""),"Código País",""),IF(AND(_xlfn.XLOOKUP($C$14,_Requeridos!$A$10:$A$20,_Requeridos!$T$10:$T$20,"")="SI",Z36=""),"Emplazamiento",""),IF(AND(_xlfn.XLOOKUP($C$14,_Requeridos!$A$10:$A$20,_Requeridos!$U$10:$U$20,"")="SI",AB36=""),"Centro de Costo",""),IF(AND(_xlfn.XLOOKUP($C$14,_Requeridos!$A$10:$A$20,_Requeridos!$V$10:$V$20,"")="SI",AC36=""),"Número de personal",""),IF(AND(_xlfn.XLOOKUP($C$14,_Requeridos!$A$10:$A$20,_Requeridos!$W$10:$W$20,"")="SI",AH36=""),"Valor Unitario","")))&gt;0,"⚠️ Faltan: "&amp;_xlfn.TEXTJOIN(", ",TRUE,IF(AND(_xlfn.XLOOKUP($C$14,_Requeridos!$A$10:$A$20,_Requeridos!$B$10:$B$20,"")="SI",C36=""),"Orden de Inversión",""),IF(AND(_xlfn.XLOOKUP($C$14,_Requeridos!$A$10:$A$20,_Requeridos!$C$10:$C$20,"")="SI",D36=""),"Elemento PEP",""),IF(AND(_xlfn.XLOOKUP($C$14,_Requeridos!$A$10:$A$20,_Requeridos!$D$10:$D$20,"")="SI",E36=""),"Pedido",""),IF(AND(_xlfn.XLOOKUP($C$14,_Requeridos!$A$10:$A$20,_Requeridos!$E$10:$E$20,"")="SI",F36=""),"Descripción Activo SAP",""),IF(AND(_xlfn.XLOOKUP($C$14,_Requeridos!$A$10:$A$20,_Requeridos!$F$10:$F$20,"")="SI",G36=""),"Clase",""),IF(AND(_xlfn.XLOOKUP($C$14,_Requeridos!$A$10:$A$20,_Requeridos!$G$10:$G$20,"")="SI",H36=""),"Cantidad",""),IF(AND(_xlfn.XLOOKUP($C$14,_Requeridos!$A$10:$A$20,_Requeridos!$H$10:$H$20,"")="SI",I36=""),"Nombre principal AF",""),IF(AND(_xlfn.XLOOKUP($C$14,_Requeridos!$A$10:$A$20,_Requeridos!$I$10:$I$20,"")="SI",L36=""),"Fabricante",""),IF(AND(_xlfn.XLOOKUP($C$14,_Requeridos!$A$10:$A$20,_Requeridos!$J$10:$J$20,"")="SI",M36=""),"Nit Proveedor",""),IF(AND(_xlfn.XLOOKUP($C$14,_Requeridos!$A$10:$A$20,_Requeridos!$K$10:$K$20,"")="SI",N36=""),"Serie",""),IF(AND(_xlfn.XLOOKUP($C$14,_Requeridos!$A$10:$A$20,_Requeridos!$L$10:$L$20,"")="SI",P36=""),"Criterio Clas. 1",""),IF(AND(_xlfn.XLOOKUP($C$14,_Requeridos!$A$10:$A$20,_Requeridos!$M$10:$M$20,"")="SI",Q36=""),"Criterio Clas. 2",""),IF(AND(_xlfn.XLOOKUP($C$14,_Requeridos!$A$10:$A$20,_Requeridos!$N$10:$N$20,"")="SI",R36=""),"Criterio Clas. 3",""),IF(AND(_xlfn.XLOOKUP($C$14,_Requeridos!$A$10:$A$20,_Requeridos!$O$10:$O$20,"")="SI",S36=""),"Criterio Clas. 4",""),IF(AND(_xlfn.XLOOKUP($C$14,_Requeridos!$A$10:$A$20,_Requeridos!$P$10:$P$20,"")="SI",T36=""),"Criterio Clas. 5",""),IF(AND(_xlfn.XLOOKUP($C$14,_Requeridos!$A$10:$A$20,_Requeridos!$Q$10:$Q$20,"")="SI",U36=""),"Ubicación técnica",""),IF(AND(_xlfn.XLOOKUP($C$14,_Requeridos!$A$10:$A$20,_Requeridos!$R$10:$R$20,"")="SI",X36=""),"Centro",""),IF(AND(_xlfn.XLOOKUP($C$14,_Requeridos!$A$10:$A$20,_Requeridos!$S$10:$S$20,"")="SI",Y36=""),"Código País",""),IF(AND(_xlfn.XLOOKUP($C$14,_Requeridos!$A$10:$A$20,_Requeridos!$T$10:$T$20,"")="SI",Z36=""),"Emplazamiento",""),IF(AND(_xlfn.XLOOKUP($C$14,_Requeridos!$A$10:$A$20,_Requeridos!$U$10:$U$20,"")="SI",AB36=""),"Centro de Costo",""),IF(AND(_xlfn.XLOOKUP($C$14,_Requeridos!$A$10:$A$20,_Requeridos!$V$10:$V$20,"")="SI",AC36=""),"Número de personal",""),IF(AND(_xlfn.XLOOKUP($C$14,_Requeridos!$A$10:$A$20,_Requeridos!$W$10:$W$20,"")="SI",AH36=""),"Valor Unitario","")),"✅ Completo"))</f>
        <v/>
      </c>
      <c r="AK36" s="52"/>
    </row>
    <row r="37" spans="1:37" s="37" customFormat="1" x14ac:dyDescent="0.35">
      <c r="A37" s="31"/>
      <c r="B37" s="56">
        <v>16</v>
      </c>
      <c r="C37" s="57"/>
      <c r="D37" s="57"/>
      <c r="E37" s="57"/>
      <c r="F37" s="57"/>
      <c r="G37" s="58" t="str">
        <f>IFERROR(_xlfn.XLOOKUP(F37,Clase!$C$2:$C$292,Clase!$B$2:$B$292,""),"")</f>
        <v/>
      </c>
      <c r="H37" s="57"/>
      <c r="I37" s="59"/>
      <c r="J37" s="57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7"/>
      <c r="AC37" s="57"/>
      <c r="AD37" s="58" t="str">
        <f>IFERROR(_xlfn.XLOOKUP(AB37,Ceco!$B$2:$B$901,Ceco!$C$2:$C$901,""),"")</f>
        <v/>
      </c>
      <c r="AE37" s="57"/>
      <c r="AF37" s="57"/>
      <c r="AG37" s="60"/>
      <c r="AH37" s="57"/>
      <c r="AI37" s="61"/>
      <c r="AJ37" s="62" t="str">
        <f>IF(COUNTA(C37,D37,E37,F37,H37,I37,L37,M37,N37,P37,Q37,R37,S37,T37,U37,X37,Y37,Z37,AB37,AC37,AH37)=0,"",IF(LEN(_xlfn.TEXTJOIN(", ",TRUE,IF(AND(_xlfn.XLOOKUP($C$14,_Requeridos!$A$10:$A$20,_Requeridos!$B$10:$B$20,"")="SI",C37=""),"Orden de Inversión",""),IF(AND(_xlfn.XLOOKUP($C$14,_Requeridos!$A$10:$A$20,_Requeridos!$C$10:$C$20,"")="SI",D37=""),"Elemento PEP",""),IF(AND(_xlfn.XLOOKUP($C$14,_Requeridos!$A$10:$A$20,_Requeridos!$D$10:$D$20,"")="SI",E37=""),"Pedido",""),IF(AND(_xlfn.XLOOKUP($C$14,_Requeridos!$A$10:$A$20,_Requeridos!$E$10:$E$20,"")="SI",F37=""),"Descripción Activo SAP",""),IF(AND(_xlfn.XLOOKUP($C$14,_Requeridos!$A$10:$A$20,_Requeridos!$F$10:$F$20,"")="SI",G37=""),"Clase",""),IF(AND(_xlfn.XLOOKUP($C$14,_Requeridos!$A$10:$A$20,_Requeridos!$G$10:$G$20,"")="SI",H37=""),"Cantidad",""),IF(AND(_xlfn.XLOOKUP($C$14,_Requeridos!$A$10:$A$20,_Requeridos!$H$10:$H$20,"")="SI",I37=""),"Nombre principal AF",""),IF(AND(_xlfn.XLOOKUP($C$14,_Requeridos!$A$10:$A$20,_Requeridos!$I$10:$I$20,"")="SI",L37=""),"Fabricante",""),IF(AND(_xlfn.XLOOKUP($C$14,_Requeridos!$A$10:$A$20,_Requeridos!$J$10:$J$20,"")="SI",M37=""),"Nit Proveedor",""),IF(AND(_xlfn.XLOOKUP($C$14,_Requeridos!$A$10:$A$20,_Requeridos!$K$10:$K$20,"")="SI",N37=""),"Serie",""),IF(AND(_xlfn.XLOOKUP($C$14,_Requeridos!$A$10:$A$20,_Requeridos!$L$10:$L$20,"")="SI",P37=""),"Criterio Clas. 1",""),IF(AND(_xlfn.XLOOKUP($C$14,_Requeridos!$A$10:$A$20,_Requeridos!$M$10:$M$20,"")="SI",Q37=""),"Criterio Clas. 2",""),IF(AND(_xlfn.XLOOKUP($C$14,_Requeridos!$A$10:$A$20,_Requeridos!$N$10:$N$20,"")="SI",R37=""),"Criterio Clas. 3",""),IF(AND(_xlfn.XLOOKUP($C$14,_Requeridos!$A$10:$A$20,_Requeridos!$O$10:$O$20,"")="SI",S37=""),"Criterio Clas. 4",""),IF(AND(_xlfn.XLOOKUP($C$14,_Requeridos!$A$10:$A$20,_Requeridos!$P$10:$P$20,"")="SI",T37=""),"Criterio Clas. 5",""),IF(AND(_xlfn.XLOOKUP($C$14,_Requeridos!$A$10:$A$20,_Requeridos!$Q$10:$Q$20,"")="SI",U37=""),"Ubicación técnica",""),IF(AND(_xlfn.XLOOKUP($C$14,_Requeridos!$A$10:$A$20,_Requeridos!$R$10:$R$20,"")="SI",X37=""),"Centro",""),IF(AND(_xlfn.XLOOKUP($C$14,_Requeridos!$A$10:$A$20,_Requeridos!$S$10:$S$20,"")="SI",Y37=""),"Código País",""),IF(AND(_xlfn.XLOOKUP($C$14,_Requeridos!$A$10:$A$20,_Requeridos!$T$10:$T$20,"")="SI",Z37=""),"Emplazamiento",""),IF(AND(_xlfn.XLOOKUP($C$14,_Requeridos!$A$10:$A$20,_Requeridos!$U$10:$U$20,"")="SI",AB37=""),"Centro de Costo",""),IF(AND(_xlfn.XLOOKUP($C$14,_Requeridos!$A$10:$A$20,_Requeridos!$V$10:$V$20,"")="SI",AC37=""),"Número de personal",""),IF(AND(_xlfn.XLOOKUP($C$14,_Requeridos!$A$10:$A$20,_Requeridos!$W$10:$W$20,"")="SI",AH37=""),"Valor Unitario","")))&gt;0,"⚠️ Faltan: "&amp;_xlfn.TEXTJOIN(", ",TRUE,IF(AND(_xlfn.XLOOKUP($C$14,_Requeridos!$A$10:$A$20,_Requeridos!$B$10:$B$20,"")="SI",C37=""),"Orden de Inversión",""),IF(AND(_xlfn.XLOOKUP($C$14,_Requeridos!$A$10:$A$20,_Requeridos!$C$10:$C$20,"")="SI",D37=""),"Elemento PEP",""),IF(AND(_xlfn.XLOOKUP($C$14,_Requeridos!$A$10:$A$20,_Requeridos!$D$10:$D$20,"")="SI",E37=""),"Pedido",""),IF(AND(_xlfn.XLOOKUP($C$14,_Requeridos!$A$10:$A$20,_Requeridos!$E$10:$E$20,"")="SI",F37=""),"Descripción Activo SAP",""),IF(AND(_xlfn.XLOOKUP($C$14,_Requeridos!$A$10:$A$20,_Requeridos!$F$10:$F$20,"")="SI",G37=""),"Clase",""),IF(AND(_xlfn.XLOOKUP($C$14,_Requeridos!$A$10:$A$20,_Requeridos!$G$10:$G$20,"")="SI",H37=""),"Cantidad",""),IF(AND(_xlfn.XLOOKUP($C$14,_Requeridos!$A$10:$A$20,_Requeridos!$H$10:$H$20,"")="SI",I37=""),"Nombre principal AF",""),IF(AND(_xlfn.XLOOKUP($C$14,_Requeridos!$A$10:$A$20,_Requeridos!$I$10:$I$20,"")="SI",L37=""),"Fabricante",""),IF(AND(_xlfn.XLOOKUP($C$14,_Requeridos!$A$10:$A$20,_Requeridos!$J$10:$J$20,"")="SI",M37=""),"Nit Proveedor",""),IF(AND(_xlfn.XLOOKUP($C$14,_Requeridos!$A$10:$A$20,_Requeridos!$K$10:$K$20,"")="SI",N37=""),"Serie",""),IF(AND(_xlfn.XLOOKUP($C$14,_Requeridos!$A$10:$A$20,_Requeridos!$L$10:$L$20,"")="SI",P37=""),"Criterio Clas. 1",""),IF(AND(_xlfn.XLOOKUP($C$14,_Requeridos!$A$10:$A$20,_Requeridos!$M$10:$M$20,"")="SI",Q37=""),"Criterio Clas. 2",""),IF(AND(_xlfn.XLOOKUP($C$14,_Requeridos!$A$10:$A$20,_Requeridos!$N$10:$N$20,"")="SI",R37=""),"Criterio Clas. 3",""),IF(AND(_xlfn.XLOOKUP($C$14,_Requeridos!$A$10:$A$20,_Requeridos!$O$10:$O$20,"")="SI",S37=""),"Criterio Clas. 4",""),IF(AND(_xlfn.XLOOKUP($C$14,_Requeridos!$A$10:$A$20,_Requeridos!$P$10:$P$20,"")="SI",T37=""),"Criterio Clas. 5",""),IF(AND(_xlfn.XLOOKUP($C$14,_Requeridos!$A$10:$A$20,_Requeridos!$Q$10:$Q$20,"")="SI",U37=""),"Ubicación técnica",""),IF(AND(_xlfn.XLOOKUP($C$14,_Requeridos!$A$10:$A$20,_Requeridos!$R$10:$R$20,"")="SI",X37=""),"Centro",""),IF(AND(_xlfn.XLOOKUP($C$14,_Requeridos!$A$10:$A$20,_Requeridos!$S$10:$S$20,"")="SI",Y37=""),"Código País",""),IF(AND(_xlfn.XLOOKUP($C$14,_Requeridos!$A$10:$A$20,_Requeridos!$T$10:$T$20,"")="SI",Z37=""),"Emplazamiento",""),IF(AND(_xlfn.XLOOKUP($C$14,_Requeridos!$A$10:$A$20,_Requeridos!$U$10:$U$20,"")="SI",AB37=""),"Centro de Costo",""),IF(AND(_xlfn.XLOOKUP($C$14,_Requeridos!$A$10:$A$20,_Requeridos!$V$10:$V$20,"")="SI",AC37=""),"Número de personal",""),IF(AND(_xlfn.XLOOKUP($C$14,_Requeridos!$A$10:$A$20,_Requeridos!$W$10:$W$20,"")="SI",AH37=""),"Valor Unitario","")),"✅ Completo"))</f>
        <v/>
      </c>
      <c r="AK37" s="52"/>
    </row>
    <row r="38" spans="1:37" s="37" customFormat="1" x14ac:dyDescent="0.35">
      <c r="A38" s="31"/>
      <c r="B38" s="56">
        <v>17</v>
      </c>
      <c r="C38" s="57"/>
      <c r="D38" s="57"/>
      <c r="E38" s="57"/>
      <c r="F38" s="57"/>
      <c r="G38" s="58" t="str">
        <f>IFERROR(_xlfn.XLOOKUP(F38,Clase!$C$2:$C$292,Clase!$B$2:$B$292,""),"")</f>
        <v/>
      </c>
      <c r="H38" s="57"/>
      <c r="I38" s="59"/>
      <c r="J38" s="57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7"/>
      <c r="AC38" s="57"/>
      <c r="AD38" s="58" t="str">
        <f>IFERROR(_xlfn.XLOOKUP(AB38,Ceco!$B$2:$B$901,Ceco!$C$2:$C$901,""),"")</f>
        <v/>
      </c>
      <c r="AE38" s="57"/>
      <c r="AF38" s="57"/>
      <c r="AG38" s="60"/>
      <c r="AH38" s="57"/>
      <c r="AI38" s="61"/>
      <c r="AJ38" s="62" t="str">
        <f>IF(COUNTA(C38,D38,E38,F38,H38,I38,L38,M38,N38,P38,Q38,R38,S38,T38,U38,X38,Y38,Z38,AB38,AC38,AH38)=0,"",IF(LEN(_xlfn.TEXTJOIN(", ",TRUE,IF(AND(_xlfn.XLOOKUP($C$14,_Requeridos!$A$10:$A$20,_Requeridos!$B$10:$B$20,"")="SI",C38=""),"Orden de Inversión",""),IF(AND(_xlfn.XLOOKUP($C$14,_Requeridos!$A$10:$A$20,_Requeridos!$C$10:$C$20,"")="SI",D38=""),"Elemento PEP",""),IF(AND(_xlfn.XLOOKUP($C$14,_Requeridos!$A$10:$A$20,_Requeridos!$D$10:$D$20,"")="SI",E38=""),"Pedido",""),IF(AND(_xlfn.XLOOKUP($C$14,_Requeridos!$A$10:$A$20,_Requeridos!$E$10:$E$20,"")="SI",F38=""),"Descripción Activo SAP",""),IF(AND(_xlfn.XLOOKUP($C$14,_Requeridos!$A$10:$A$20,_Requeridos!$F$10:$F$20,"")="SI",G38=""),"Clase",""),IF(AND(_xlfn.XLOOKUP($C$14,_Requeridos!$A$10:$A$20,_Requeridos!$G$10:$G$20,"")="SI",H38=""),"Cantidad",""),IF(AND(_xlfn.XLOOKUP($C$14,_Requeridos!$A$10:$A$20,_Requeridos!$H$10:$H$20,"")="SI",I38=""),"Nombre principal AF",""),IF(AND(_xlfn.XLOOKUP($C$14,_Requeridos!$A$10:$A$20,_Requeridos!$I$10:$I$20,"")="SI",L38=""),"Fabricante",""),IF(AND(_xlfn.XLOOKUP($C$14,_Requeridos!$A$10:$A$20,_Requeridos!$J$10:$J$20,"")="SI",M38=""),"Nit Proveedor",""),IF(AND(_xlfn.XLOOKUP($C$14,_Requeridos!$A$10:$A$20,_Requeridos!$K$10:$K$20,"")="SI",N38=""),"Serie",""),IF(AND(_xlfn.XLOOKUP($C$14,_Requeridos!$A$10:$A$20,_Requeridos!$L$10:$L$20,"")="SI",P38=""),"Criterio Clas. 1",""),IF(AND(_xlfn.XLOOKUP($C$14,_Requeridos!$A$10:$A$20,_Requeridos!$M$10:$M$20,"")="SI",Q38=""),"Criterio Clas. 2",""),IF(AND(_xlfn.XLOOKUP($C$14,_Requeridos!$A$10:$A$20,_Requeridos!$N$10:$N$20,"")="SI",R38=""),"Criterio Clas. 3",""),IF(AND(_xlfn.XLOOKUP($C$14,_Requeridos!$A$10:$A$20,_Requeridos!$O$10:$O$20,"")="SI",S38=""),"Criterio Clas. 4",""),IF(AND(_xlfn.XLOOKUP($C$14,_Requeridos!$A$10:$A$20,_Requeridos!$P$10:$P$20,"")="SI",T38=""),"Criterio Clas. 5",""),IF(AND(_xlfn.XLOOKUP($C$14,_Requeridos!$A$10:$A$20,_Requeridos!$Q$10:$Q$20,"")="SI",U38=""),"Ubicación técnica",""),IF(AND(_xlfn.XLOOKUP($C$14,_Requeridos!$A$10:$A$20,_Requeridos!$R$10:$R$20,"")="SI",X38=""),"Centro",""),IF(AND(_xlfn.XLOOKUP($C$14,_Requeridos!$A$10:$A$20,_Requeridos!$S$10:$S$20,"")="SI",Y38=""),"Código País",""),IF(AND(_xlfn.XLOOKUP($C$14,_Requeridos!$A$10:$A$20,_Requeridos!$T$10:$T$20,"")="SI",Z38=""),"Emplazamiento",""),IF(AND(_xlfn.XLOOKUP($C$14,_Requeridos!$A$10:$A$20,_Requeridos!$U$10:$U$20,"")="SI",AB38=""),"Centro de Costo",""),IF(AND(_xlfn.XLOOKUP($C$14,_Requeridos!$A$10:$A$20,_Requeridos!$V$10:$V$20,"")="SI",AC38=""),"Número de personal",""),IF(AND(_xlfn.XLOOKUP($C$14,_Requeridos!$A$10:$A$20,_Requeridos!$W$10:$W$20,"")="SI",AH38=""),"Valor Unitario","")))&gt;0,"⚠️ Faltan: "&amp;_xlfn.TEXTJOIN(", ",TRUE,IF(AND(_xlfn.XLOOKUP($C$14,_Requeridos!$A$10:$A$20,_Requeridos!$B$10:$B$20,"")="SI",C38=""),"Orden de Inversión",""),IF(AND(_xlfn.XLOOKUP($C$14,_Requeridos!$A$10:$A$20,_Requeridos!$C$10:$C$20,"")="SI",D38=""),"Elemento PEP",""),IF(AND(_xlfn.XLOOKUP($C$14,_Requeridos!$A$10:$A$20,_Requeridos!$D$10:$D$20,"")="SI",E38=""),"Pedido",""),IF(AND(_xlfn.XLOOKUP($C$14,_Requeridos!$A$10:$A$20,_Requeridos!$E$10:$E$20,"")="SI",F38=""),"Descripción Activo SAP",""),IF(AND(_xlfn.XLOOKUP($C$14,_Requeridos!$A$10:$A$20,_Requeridos!$F$10:$F$20,"")="SI",G38=""),"Clase",""),IF(AND(_xlfn.XLOOKUP($C$14,_Requeridos!$A$10:$A$20,_Requeridos!$G$10:$G$20,"")="SI",H38=""),"Cantidad",""),IF(AND(_xlfn.XLOOKUP($C$14,_Requeridos!$A$10:$A$20,_Requeridos!$H$10:$H$20,"")="SI",I38=""),"Nombre principal AF",""),IF(AND(_xlfn.XLOOKUP($C$14,_Requeridos!$A$10:$A$20,_Requeridos!$I$10:$I$20,"")="SI",L38=""),"Fabricante",""),IF(AND(_xlfn.XLOOKUP($C$14,_Requeridos!$A$10:$A$20,_Requeridos!$J$10:$J$20,"")="SI",M38=""),"Nit Proveedor",""),IF(AND(_xlfn.XLOOKUP($C$14,_Requeridos!$A$10:$A$20,_Requeridos!$K$10:$K$20,"")="SI",N38=""),"Serie",""),IF(AND(_xlfn.XLOOKUP($C$14,_Requeridos!$A$10:$A$20,_Requeridos!$L$10:$L$20,"")="SI",P38=""),"Criterio Clas. 1",""),IF(AND(_xlfn.XLOOKUP($C$14,_Requeridos!$A$10:$A$20,_Requeridos!$M$10:$M$20,"")="SI",Q38=""),"Criterio Clas. 2",""),IF(AND(_xlfn.XLOOKUP($C$14,_Requeridos!$A$10:$A$20,_Requeridos!$N$10:$N$20,"")="SI",R38=""),"Criterio Clas. 3",""),IF(AND(_xlfn.XLOOKUP($C$14,_Requeridos!$A$10:$A$20,_Requeridos!$O$10:$O$20,"")="SI",S38=""),"Criterio Clas. 4",""),IF(AND(_xlfn.XLOOKUP($C$14,_Requeridos!$A$10:$A$20,_Requeridos!$P$10:$P$20,"")="SI",T38=""),"Criterio Clas. 5",""),IF(AND(_xlfn.XLOOKUP($C$14,_Requeridos!$A$10:$A$20,_Requeridos!$Q$10:$Q$20,"")="SI",U38=""),"Ubicación técnica",""),IF(AND(_xlfn.XLOOKUP($C$14,_Requeridos!$A$10:$A$20,_Requeridos!$R$10:$R$20,"")="SI",X38=""),"Centro",""),IF(AND(_xlfn.XLOOKUP($C$14,_Requeridos!$A$10:$A$20,_Requeridos!$S$10:$S$20,"")="SI",Y38=""),"Código País",""),IF(AND(_xlfn.XLOOKUP($C$14,_Requeridos!$A$10:$A$20,_Requeridos!$T$10:$T$20,"")="SI",Z38=""),"Emplazamiento",""),IF(AND(_xlfn.XLOOKUP($C$14,_Requeridos!$A$10:$A$20,_Requeridos!$U$10:$U$20,"")="SI",AB38=""),"Centro de Costo",""),IF(AND(_xlfn.XLOOKUP($C$14,_Requeridos!$A$10:$A$20,_Requeridos!$V$10:$V$20,"")="SI",AC38=""),"Número de personal",""),IF(AND(_xlfn.XLOOKUP($C$14,_Requeridos!$A$10:$A$20,_Requeridos!$W$10:$W$20,"")="SI",AH38=""),"Valor Unitario","")),"✅ Completo"))</f>
        <v/>
      </c>
      <c r="AK38" s="52"/>
    </row>
    <row r="39" spans="1:37" s="37" customFormat="1" x14ac:dyDescent="0.35">
      <c r="A39" s="31"/>
      <c r="B39" s="56">
        <v>18</v>
      </c>
      <c r="C39" s="57"/>
      <c r="D39" s="57"/>
      <c r="E39" s="57"/>
      <c r="F39" s="57"/>
      <c r="G39" s="58" t="str">
        <f>IFERROR(_xlfn.XLOOKUP(F39,Clase!$C$2:$C$292,Clase!$B$2:$B$292,""),"")</f>
        <v/>
      </c>
      <c r="H39" s="57"/>
      <c r="I39" s="59"/>
      <c r="J39" s="57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7"/>
      <c r="AC39" s="57"/>
      <c r="AD39" s="58" t="str">
        <f>IFERROR(_xlfn.XLOOKUP(AB39,Ceco!$B$2:$B$901,Ceco!$C$2:$C$901,""),"")</f>
        <v/>
      </c>
      <c r="AE39" s="57"/>
      <c r="AF39" s="57"/>
      <c r="AG39" s="60"/>
      <c r="AH39" s="57"/>
      <c r="AI39" s="61"/>
      <c r="AJ39" s="62" t="str">
        <f>IF(COUNTA(C39,D39,E39,F39,H39,I39,L39,M39,N39,P39,Q39,R39,S39,T39,U39,X39,Y39,Z39,AB39,AC39,AH39)=0,"",IF(LEN(_xlfn.TEXTJOIN(", ",TRUE,IF(AND(_xlfn.XLOOKUP($C$14,_Requeridos!$A$10:$A$20,_Requeridos!$B$10:$B$20,"")="SI",C39=""),"Orden de Inversión",""),IF(AND(_xlfn.XLOOKUP($C$14,_Requeridos!$A$10:$A$20,_Requeridos!$C$10:$C$20,"")="SI",D39=""),"Elemento PEP",""),IF(AND(_xlfn.XLOOKUP($C$14,_Requeridos!$A$10:$A$20,_Requeridos!$D$10:$D$20,"")="SI",E39=""),"Pedido",""),IF(AND(_xlfn.XLOOKUP($C$14,_Requeridos!$A$10:$A$20,_Requeridos!$E$10:$E$20,"")="SI",F39=""),"Descripción Activo SAP",""),IF(AND(_xlfn.XLOOKUP($C$14,_Requeridos!$A$10:$A$20,_Requeridos!$F$10:$F$20,"")="SI",G39=""),"Clase",""),IF(AND(_xlfn.XLOOKUP($C$14,_Requeridos!$A$10:$A$20,_Requeridos!$G$10:$G$20,"")="SI",H39=""),"Cantidad",""),IF(AND(_xlfn.XLOOKUP($C$14,_Requeridos!$A$10:$A$20,_Requeridos!$H$10:$H$20,"")="SI",I39=""),"Nombre principal AF",""),IF(AND(_xlfn.XLOOKUP($C$14,_Requeridos!$A$10:$A$20,_Requeridos!$I$10:$I$20,"")="SI",L39=""),"Fabricante",""),IF(AND(_xlfn.XLOOKUP($C$14,_Requeridos!$A$10:$A$20,_Requeridos!$J$10:$J$20,"")="SI",M39=""),"Nit Proveedor",""),IF(AND(_xlfn.XLOOKUP($C$14,_Requeridos!$A$10:$A$20,_Requeridos!$K$10:$K$20,"")="SI",N39=""),"Serie",""),IF(AND(_xlfn.XLOOKUP($C$14,_Requeridos!$A$10:$A$20,_Requeridos!$L$10:$L$20,"")="SI",P39=""),"Criterio Clas. 1",""),IF(AND(_xlfn.XLOOKUP($C$14,_Requeridos!$A$10:$A$20,_Requeridos!$M$10:$M$20,"")="SI",Q39=""),"Criterio Clas. 2",""),IF(AND(_xlfn.XLOOKUP($C$14,_Requeridos!$A$10:$A$20,_Requeridos!$N$10:$N$20,"")="SI",R39=""),"Criterio Clas. 3",""),IF(AND(_xlfn.XLOOKUP($C$14,_Requeridos!$A$10:$A$20,_Requeridos!$O$10:$O$20,"")="SI",S39=""),"Criterio Clas. 4",""),IF(AND(_xlfn.XLOOKUP($C$14,_Requeridos!$A$10:$A$20,_Requeridos!$P$10:$P$20,"")="SI",T39=""),"Criterio Clas. 5",""),IF(AND(_xlfn.XLOOKUP($C$14,_Requeridos!$A$10:$A$20,_Requeridos!$Q$10:$Q$20,"")="SI",U39=""),"Ubicación técnica",""),IF(AND(_xlfn.XLOOKUP($C$14,_Requeridos!$A$10:$A$20,_Requeridos!$R$10:$R$20,"")="SI",X39=""),"Centro",""),IF(AND(_xlfn.XLOOKUP($C$14,_Requeridos!$A$10:$A$20,_Requeridos!$S$10:$S$20,"")="SI",Y39=""),"Código País",""),IF(AND(_xlfn.XLOOKUP($C$14,_Requeridos!$A$10:$A$20,_Requeridos!$T$10:$T$20,"")="SI",Z39=""),"Emplazamiento",""),IF(AND(_xlfn.XLOOKUP($C$14,_Requeridos!$A$10:$A$20,_Requeridos!$U$10:$U$20,"")="SI",AB39=""),"Centro de Costo",""),IF(AND(_xlfn.XLOOKUP($C$14,_Requeridos!$A$10:$A$20,_Requeridos!$V$10:$V$20,"")="SI",AC39=""),"Número de personal",""),IF(AND(_xlfn.XLOOKUP($C$14,_Requeridos!$A$10:$A$20,_Requeridos!$W$10:$W$20,"")="SI",AH39=""),"Valor Unitario","")))&gt;0,"⚠️ Faltan: "&amp;_xlfn.TEXTJOIN(", ",TRUE,IF(AND(_xlfn.XLOOKUP($C$14,_Requeridos!$A$10:$A$20,_Requeridos!$B$10:$B$20,"")="SI",C39=""),"Orden de Inversión",""),IF(AND(_xlfn.XLOOKUP($C$14,_Requeridos!$A$10:$A$20,_Requeridos!$C$10:$C$20,"")="SI",D39=""),"Elemento PEP",""),IF(AND(_xlfn.XLOOKUP($C$14,_Requeridos!$A$10:$A$20,_Requeridos!$D$10:$D$20,"")="SI",E39=""),"Pedido",""),IF(AND(_xlfn.XLOOKUP($C$14,_Requeridos!$A$10:$A$20,_Requeridos!$E$10:$E$20,"")="SI",F39=""),"Descripción Activo SAP",""),IF(AND(_xlfn.XLOOKUP($C$14,_Requeridos!$A$10:$A$20,_Requeridos!$F$10:$F$20,"")="SI",G39=""),"Clase",""),IF(AND(_xlfn.XLOOKUP($C$14,_Requeridos!$A$10:$A$20,_Requeridos!$G$10:$G$20,"")="SI",H39=""),"Cantidad",""),IF(AND(_xlfn.XLOOKUP($C$14,_Requeridos!$A$10:$A$20,_Requeridos!$H$10:$H$20,"")="SI",I39=""),"Nombre principal AF",""),IF(AND(_xlfn.XLOOKUP($C$14,_Requeridos!$A$10:$A$20,_Requeridos!$I$10:$I$20,"")="SI",L39=""),"Fabricante",""),IF(AND(_xlfn.XLOOKUP($C$14,_Requeridos!$A$10:$A$20,_Requeridos!$J$10:$J$20,"")="SI",M39=""),"Nit Proveedor",""),IF(AND(_xlfn.XLOOKUP($C$14,_Requeridos!$A$10:$A$20,_Requeridos!$K$10:$K$20,"")="SI",N39=""),"Serie",""),IF(AND(_xlfn.XLOOKUP($C$14,_Requeridos!$A$10:$A$20,_Requeridos!$L$10:$L$20,"")="SI",P39=""),"Criterio Clas. 1",""),IF(AND(_xlfn.XLOOKUP($C$14,_Requeridos!$A$10:$A$20,_Requeridos!$M$10:$M$20,"")="SI",Q39=""),"Criterio Clas. 2",""),IF(AND(_xlfn.XLOOKUP($C$14,_Requeridos!$A$10:$A$20,_Requeridos!$N$10:$N$20,"")="SI",R39=""),"Criterio Clas. 3",""),IF(AND(_xlfn.XLOOKUP($C$14,_Requeridos!$A$10:$A$20,_Requeridos!$O$10:$O$20,"")="SI",S39=""),"Criterio Clas. 4",""),IF(AND(_xlfn.XLOOKUP($C$14,_Requeridos!$A$10:$A$20,_Requeridos!$P$10:$P$20,"")="SI",T39=""),"Criterio Clas. 5",""),IF(AND(_xlfn.XLOOKUP($C$14,_Requeridos!$A$10:$A$20,_Requeridos!$Q$10:$Q$20,"")="SI",U39=""),"Ubicación técnica",""),IF(AND(_xlfn.XLOOKUP($C$14,_Requeridos!$A$10:$A$20,_Requeridos!$R$10:$R$20,"")="SI",X39=""),"Centro",""),IF(AND(_xlfn.XLOOKUP($C$14,_Requeridos!$A$10:$A$20,_Requeridos!$S$10:$S$20,"")="SI",Y39=""),"Código País",""),IF(AND(_xlfn.XLOOKUP($C$14,_Requeridos!$A$10:$A$20,_Requeridos!$T$10:$T$20,"")="SI",Z39=""),"Emplazamiento",""),IF(AND(_xlfn.XLOOKUP($C$14,_Requeridos!$A$10:$A$20,_Requeridos!$U$10:$U$20,"")="SI",AB39=""),"Centro de Costo",""),IF(AND(_xlfn.XLOOKUP($C$14,_Requeridos!$A$10:$A$20,_Requeridos!$V$10:$V$20,"")="SI",AC39=""),"Número de personal",""),IF(AND(_xlfn.XLOOKUP($C$14,_Requeridos!$A$10:$A$20,_Requeridos!$W$10:$W$20,"")="SI",AH39=""),"Valor Unitario","")),"✅ Completo"))</f>
        <v/>
      </c>
      <c r="AK39" s="52"/>
    </row>
    <row r="40" spans="1:37" s="37" customFormat="1" x14ac:dyDescent="0.35">
      <c r="A40" s="31"/>
      <c r="B40" s="56">
        <v>19</v>
      </c>
      <c r="C40" s="57"/>
      <c r="D40" s="57"/>
      <c r="E40" s="57"/>
      <c r="F40" s="57"/>
      <c r="G40" s="58" t="str">
        <f>IFERROR(_xlfn.XLOOKUP(F40,Clase!$C$2:$C$292,Clase!$B$2:$B$292,""),"")</f>
        <v/>
      </c>
      <c r="H40" s="57"/>
      <c r="I40" s="59"/>
      <c r="J40" s="57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7"/>
      <c r="AC40" s="57"/>
      <c r="AD40" s="58" t="str">
        <f>IFERROR(_xlfn.XLOOKUP(AB40,Ceco!$B$2:$B$901,Ceco!$C$2:$C$901,""),"")</f>
        <v/>
      </c>
      <c r="AE40" s="57"/>
      <c r="AF40" s="57"/>
      <c r="AG40" s="60"/>
      <c r="AH40" s="57"/>
      <c r="AI40" s="61"/>
      <c r="AJ40" s="62" t="str">
        <f>IF(COUNTA(C40,D40,E40,F40,H40,I40,L40,M40,N40,P40,Q40,R40,S40,T40,U40,X40,Y40,Z40,AB40,AC40,AH40)=0,"",IF(LEN(_xlfn.TEXTJOIN(", ",TRUE,IF(AND(_xlfn.XLOOKUP($C$14,_Requeridos!$A$10:$A$20,_Requeridos!$B$10:$B$20,"")="SI",C40=""),"Orden de Inversión",""),IF(AND(_xlfn.XLOOKUP($C$14,_Requeridos!$A$10:$A$20,_Requeridos!$C$10:$C$20,"")="SI",D40=""),"Elemento PEP",""),IF(AND(_xlfn.XLOOKUP($C$14,_Requeridos!$A$10:$A$20,_Requeridos!$D$10:$D$20,"")="SI",E40=""),"Pedido",""),IF(AND(_xlfn.XLOOKUP($C$14,_Requeridos!$A$10:$A$20,_Requeridos!$E$10:$E$20,"")="SI",F40=""),"Descripción Activo SAP",""),IF(AND(_xlfn.XLOOKUP($C$14,_Requeridos!$A$10:$A$20,_Requeridos!$F$10:$F$20,"")="SI",G40=""),"Clase",""),IF(AND(_xlfn.XLOOKUP($C$14,_Requeridos!$A$10:$A$20,_Requeridos!$G$10:$G$20,"")="SI",H40=""),"Cantidad",""),IF(AND(_xlfn.XLOOKUP($C$14,_Requeridos!$A$10:$A$20,_Requeridos!$H$10:$H$20,"")="SI",I40=""),"Nombre principal AF",""),IF(AND(_xlfn.XLOOKUP($C$14,_Requeridos!$A$10:$A$20,_Requeridos!$I$10:$I$20,"")="SI",L40=""),"Fabricante",""),IF(AND(_xlfn.XLOOKUP($C$14,_Requeridos!$A$10:$A$20,_Requeridos!$J$10:$J$20,"")="SI",M40=""),"Nit Proveedor",""),IF(AND(_xlfn.XLOOKUP($C$14,_Requeridos!$A$10:$A$20,_Requeridos!$K$10:$K$20,"")="SI",N40=""),"Serie",""),IF(AND(_xlfn.XLOOKUP($C$14,_Requeridos!$A$10:$A$20,_Requeridos!$L$10:$L$20,"")="SI",P40=""),"Criterio Clas. 1",""),IF(AND(_xlfn.XLOOKUP($C$14,_Requeridos!$A$10:$A$20,_Requeridos!$M$10:$M$20,"")="SI",Q40=""),"Criterio Clas. 2",""),IF(AND(_xlfn.XLOOKUP($C$14,_Requeridos!$A$10:$A$20,_Requeridos!$N$10:$N$20,"")="SI",R40=""),"Criterio Clas. 3",""),IF(AND(_xlfn.XLOOKUP($C$14,_Requeridos!$A$10:$A$20,_Requeridos!$O$10:$O$20,"")="SI",S40=""),"Criterio Clas. 4",""),IF(AND(_xlfn.XLOOKUP($C$14,_Requeridos!$A$10:$A$20,_Requeridos!$P$10:$P$20,"")="SI",T40=""),"Criterio Clas. 5",""),IF(AND(_xlfn.XLOOKUP($C$14,_Requeridos!$A$10:$A$20,_Requeridos!$Q$10:$Q$20,"")="SI",U40=""),"Ubicación técnica",""),IF(AND(_xlfn.XLOOKUP($C$14,_Requeridos!$A$10:$A$20,_Requeridos!$R$10:$R$20,"")="SI",X40=""),"Centro",""),IF(AND(_xlfn.XLOOKUP($C$14,_Requeridos!$A$10:$A$20,_Requeridos!$S$10:$S$20,"")="SI",Y40=""),"Código País",""),IF(AND(_xlfn.XLOOKUP($C$14,_Requeridos!$A$10:$A$20,_Requeridos!$T$10:$T$20,"")="SI",Z40=""),"Emplazamiento",""),IF(AND(_xlfn.XLOOKUP($C$14,_Requeridos!$A$10:$A$20,_Requeridos!$U$10:$U$20,"")="SI",AB40=""),"Centro de Costo",""),IF(AND(_xlfn.XLOOKUP($C$14,_Requeridos!$A$10:$A$20,_Requeridos!$V$10:$V$20,"")="SI",AC40=""),"Número de personal",""),IF(AND(_xlfn.XLOOKUP($C$14,_Requeridos!$A$10:$A$20,_Requeridos!$W$10:$W$20,"")="SI",AH40=""),"Valor Unitario","")))&gt;0,"⚠️ Faltan: "&amp;_xlfn.TEXTJOIN(", ",TRUE,IF(AND(_xlfn.XLOOKUP($C$14,_Requeridos!$A$10:$A$20,_Requeridos!$B$10:$B$20,"")="SI",C40=""),"Orden de Inversión",""),IF(AND(_xlfn.XLOOKUP($C$14,_Requeridos!$A$10:$A$20,_Requeridos!$C$10:$C$20,"")="SI",D40=""),"Elemento PEP",""),IF(AND(_xlfn.XLOOKUP($C$14,_Requeridos!$A$10:$A$20,_Requeridos!$D$10:$D$20,"")="SI",E40=""),"Pedido",""),IF(AND(_xlfn.XLOOKUP($C$14,_Requeridos!$A$10:$A$20,_Requeridos!$E$10:$E$20,"")="SI",F40=""),"Descripción Activo SAP",""),IF(AND(_xlfn.XLOOKUP($C$14,_Requeridos!$A$10:$A$20,_Requeridos!$F$10:$F$20,"")="SI",G40=""),"Clase",""),IF(AND(_xlfn.XLOOKUP($C$14,_Requeridos!$A$10:$A$20,_Requeridos!$G$10:$G$20,"")="SI",H40=""),"Cantidad",""),IF(AND(_xlfn.XLOOKUP($C$14,_Requeridos!$A$10:$A$20,_Requeridos!$H$10:$H$20,"")="SI",I40=""),"Nombre principal AF",""),IF(AND(_xlfn.XLOOKUP($C$14,_Requeridos!$A$10:$A$20,_Requeridos!$I$10:$I$20,"")="SI",L40=""),"Fabricante",""),IF(AND(_xlfn.XLOOKUP($C$14,_Requeridos!$A$10:$A$20,_Requeridos!$J$10:$J$20,"")="SI",M40=""),"Nit Proveedor",""),IF(AND(_xlfn.XLOOKUP($C$14,_Requeridos!$A$10:$A$20,_Requeridos!$K$10:$K$20,"")="SI",N40=""),"Serie",""),IF(AND(_xlfn.XLOOKUP($C$14,_Requeridos!$A$10:$A$20,_Requeridos!$L$10:$L$20,"")="SI",P40=""),"Criterio Clas. 1",""),IF(AND(_xlfn.XLOOKUP($C$14,_Requeridos!$A$10:$A$20,_Requeridos!$M$10:$M$20,"")="SI",Q40=""),"Criterio Clas. 2",""),IF(AND(_xlfn.XLOOKUP($C$14,_Requeridos!$A$10:$A$20,_Requeridos!$N$10:$N$20,"")="SI",R40=""),"Criterio Clas. 3",""),IF(AND(_xlfn.XLOOKUP($C$14,_Requeridos!$A$10:$A$20,_Requeridos!$O$10:$O$20,"")="SI",S40=""),"Criterio Clas. 4",""),IF(AND(_xlfn.XLOOKUP($C$14,_Requeridos!$A$10:$A$20,_Requeridos!$P$10:$P$20,"")="SI",T40=""),"Criterio Clas. 5",""),IF(AND(_xlfn.XLOOKUP($C$14,_Requeridos!$A$10:$A$20,_Requeridos!$Q$10:$Q$20,"")="SI",U40=""),"Ubicación técnica",""),IF(AND(_xlfn.XLOOKUP($C$14,_Requeridos!$A$10:$A$20,_Requeridos!$R$10:$R$20,"")="SI",X40=""),"Centro",""),IF(AND(_xlfn.XLOOKUP($C$14,_Requeridos!$A$10:$A$20,_Requeridos!$S$10:$S$20,"")="SI",Y40=""),"Código País",""),IF(AND(_xlfn.XLOOKUP($C$14,_Requeridos!$A$10:$A$20,_Requeridos!$T$10:$T$20,"")="SI",Z40=""),"Emplazamiento",""),IF(AND(_xlfn.XLOOKUP($C$14,_Requeridos!$A$10:$A$20,_Requeridos!$U$10:$U$20,"")="SI",AB40=""),"Centro de Costo",""),IF(AND(_xlfn.XLOOKUP($C$14,_Requeridos!$A$10:$A$20,_Requeridos!$V$10:$V$20,"")="SI",AC40=""),"Número de personal",""),IF(AND(_xlfn.XLOOKUP($C$14,_Requeridos!$A$10:$A$20,_Requeridos!$W$10:$W$20,"")="SI",AH40=""),"Valor Unitario","")),"✅ Completo"))</f>
        <v/>
      </c>
      <c r="AK40" s="52"/>
    </row>
    <row r="41" spans="1:37" s="37" customFormat="1" x14ac:dyDescent="0.35">
      <c r="A41" s="31"/>
      <c r="B41" s="56">
        <v>20</v>
      </c>
      <c r="C41" s="57"/>
      <c r="D41" s="57"/>
      <c r="E41" s="57"/>
      <c r="F41" s="57"/>
      <c r="G41" s="58" t="str">
        <f>IFERROR(_xlfn.XLOOKUP(F41,Clase!$C$2:$C$292,Clase!$B$2:$B$292,""),"")</f>
        <v/>
      </c>
      <c r="H41" s="57"/>
      <c r="I41" s="59"/>
      <c r="J41" s="57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7"/>
      <c r="AC41" s="57"/>
      <c r="AD41" s="58" t="str">
        <f>IFERROR(_xlfn.XLOOKUP(AB41,Ceco!$B$2:$B$901,Ceco!$C$2:$C$901,""),"")</f>
        <v/>
      </c>
      <c r="AE41" s="57"/>
      <c r="AF41" s="57"/>
      <c r="AG41" s="60"/>
      <c r="AH41" s="57"/>
      <c r="AI41" s="61"/>
      <c r="AJ41" s="62" t="str">
        <f>IF(COUNTA(C41,D41,E41,F41,H41,I41,L41,M41,N41,P41,Q41,R41,S41,T41,U41,X41,Y41,Z41,AB41,AC41,AH41)=0,"",IF(LEN(_xlfn.TEXTJOIN(", ",TRUE,IF(AND(_xlfn.XLOOKUP($C$14,_Requeridos!$A$10:$A$20,_Requeridos!$B$10:$B$20,"")="SI",C41=""),"Orden de Inversión",""),IF(AND(_xlfn.XLOOKUP($C$14,_Requeridos!$A$10:$A$20,_Requeridos!$C$10:$C$20,"")="SI",D41=""),"Elemento PEP",""),IF(AND(_xlfn.XLOOKUP($C$14,_Requeridos!$A$10:$A$20,_Requeridos!$D$10:$D$20,"")="SI",E41=""),"Pedido",""),IF(AND(_xlfn.XLOOKUP($C$14,_Requeridos!$A$10:$A$20,_Requeridos!$E$10:$E$20,"")="SI",F41=""),"Descripción Activo SAP",""),IF(AND(_xlfn.XLOOKUP($C$14,_Requeridos!$A$10:$A$20,_Requeridos!$F$10:$F$20,"")="SI",G41=""),"Clase",""),IF(AND(_xlfn.XLOOKUP($C$14,_Requeridos!$A$10:$A$20,_Requeridos!$G$10:$G$20,"")="SI",H41=""),"Cantidad",""),IF(AND(_xlfn.XLOOKUP($C$14,_Requeridos!$A$10:$A$20,_Requeridos!$H$10:$H$20,"")="SI",I41=""),"Nombre principal AF",""),IF(AND(_xlfn.XLOOKUP($C$14,_Requeridos!$A$10:$A$20,_Requeridos!$I$10:$I$20,"")="SI",L41=""),"Fabricante",""),IF(AND(_xlfn.XLOOKUP($C$14,_Requeridos!$A$10:$A$20,_Requeridos!$J$10:$J$20,"")="SI",M41=""),"Nit Proveedor",""),IF(AND(_xlfn.XLOOKUP($C$14,_Requeridos!$A$10:$A$20,_Requeridos!$K$10:$K$20,"")="SI",N41=""),"Serie",""),IF(AND(_xlfn.XLOOKUP($C$14,_Requeridos!$A$10:$A$20,_Requeridos!$L$10:$L$20,"")="SI",P41=""),"Criterio Clas. 1",""),IF(AND(_xlfn.XLOOKUP($C$14,_Requeridos!$A$10:$A$20,_Requeridos!$M$10:$M$20,"")="SI",Q41=""),"Criterio Clas. 2",""),IF(AND(_xlfn.XLOOKUP($C$14,_Requeridos!$A$10:$A$20,_Requeridos!$N$10:$N$20,"")="SI",R41=""),"Criterio Clas. 3",""),IF(AND(_xlfn.XLOOKUP($C$14,_Requeridos!$A$10:$A$20,_Requeridos!$O$10:$O$20,"")="SI",S41=""),"Criterio Clas. 4",""),IF(AND(_xlfn.XLOOKUP($C$14,_Requeridos!$A$10:$A$20,_Requeridos!$P$10:$P$20,"")="SI",T41=""),"Criterio Clas. 5",""),IF(AND(_xlfn.XLOOKUP($C$14,_Requeridos!$A$10:$A$20,_Requeridos!$Q$10:$Q$20,"")="SI",U41=""),"Ubicación técnica",""),IF(AND(_xlfn.XLOOKUP($C$14,_Requeridos!$A$10:$A$20,_Requeridos!$R$10:$R$20,"")="SI",X41=""),"Centro",""),IF(AND(_xlfn.XLOOKUP($C$14,_Requeridos!$A$10:$A$20,_Requeridos!$S$10:$S$20,"")="SI",Y41=""),"Código País",""),IF(AND(_xlfn.XLOOKUP($C$14,_Requeridos!$A$10:$A$20,_Requeridos!$T$10:$T$20,"")="SI",Z41=""),"Emplazamiento",""),IF(AND(_xlfn.XLOOKUP($C$14,_Requeridos!$A$10:$A$20,_Requeridos!$U$10:$U$20,"")="SI",AB41=""),"Centro de Costo",""),IF(AND(_xlfn.XLOOKUP($C$14,_Requeridos!$A$10:$A$20,_Requeridos!$V$10:$V$20,"")="SI",AC41=""),"Número de personal",""),IF(AND(_xlfn.XLOOKUP($C$14,_Requeridos!$A$10:$A$20,_Requeridos!$W$10:$W$20,"")="SI",AH41=""),"Valor Unitario","")))&gt;0,"⚠️ Faltan: "&amp;_xlfn.TEXTJOIN(", ",TRUE,IF(AND(_xlfn.XLOOKUP($C$14,_Requeridos!$A$10:$A$20,_Requeridos!$B$10:$B$20,"")="SI",C41=""),"Orden de Inversión",""),IF(AND(_xlfn.XLOOKUP($C$14,_Requeridos!$A$10:$A$20,_Requeridos!$C$10:$C$20,"")="SI",D41=""),"Elemento PEP",""),IF(AND(_xlfn.XLOOKUP($C$14,_Requeridos!$A$10:$A$20,_Requeridos!$D$10:$D$20,"")="SI",E41=""),"Pedido",""),IF(AND(_xlfn.XLOOKUP($C$14,_Requeridos!$A$10:$A$20,_Requeridos!$E$10:$E$20,"")="SI",F41=""),"Descripción Activo SAP",""),IF(AND(_xlfn.XLOOKUP($C$14,_Requeridos!$A$10:$A$20,_Requeridos!$F$10:$F$20,"")="SI",G41=""),"Clase",""),IF(AND(_xlfn.XLOOKUP($C$14,_Requeridos!$A$10:$A$20,_Requeridos!$G$10:$G$20,"")="SI",H41=""),"Cantidad",""),IF(AND(_xlfn.XLOOKUP($C$14,_Requeridos!$A$10:$A$20,_Requeridos!$H$10:$H$20,"")="SI",I41=""),"Nombre principal AF",""),IF(AND(_xlfn.XLOOKUP($C$14,_Requeridos!$A$10:$A$20,_Requeridos!$I$10:$I$20,"")="SI",L41=""),"Fabricante",""),IF(AND(_xlfn.XLOOKUP($C$14,_Requeridos!$A$10:$A$20,_Requeridos!$J$10:$J$20,"")="SI",M41=""),"Nit Proveedor",""),IF(AND(_xlfn.XLOOKUP($C$14,_Requeridos!$A$10:$A$20,_Requeridos!$K$10:$K$20,"")="SI",N41=""),"Serie",""),IF(AND(_xlfn.XLOOKUP($C$14,_Requeridos!$A$10:$A$20,_Requeridos!$L$10:$L$20,"")="SI",P41=""),"Criterio Clas. 1",""),IF(AND(_xlfn.XLOOKUP($C$14,_Requeridos!$A$10:$A$20,_Requeridos!$M$10:$M$20,"")="SI",Q41=""),"Criterio Clas. 2",""),IF(AND(_xlfn.XLOOKUP($C$14,_Requeridos!$A$10:$A$20,_Requeridos!$N$10:$N$20,"")="SI",R41=""),"Criterio Clas. 3",""),IF(AND(_xlfn.XLOOKUP($C$14,_Requeridos!$A$10:$A$20,_Requeridos!$O$10:$O$20,"")="SI",S41=""),"Criterio Clas. 4",""),IF(AND(_xlfn.XLOOKUP($C$14,_Requeridos!$A$10:$A$20,_Requeridos!$P$10:$P$20,"")="SI",T41=""),"Criterio Clas. 5",""),IF(AND(_xlfn.XLOOKUP($C$14,_Requeridos!$A$10:$A$20,_Requeridos!$Q$10:$Q$20,"")="SI",U41=""),"Ubicación técnica",""),IF(AND(_xlfn.XLOOKUP($C$14,_Requeridos!$A$10:$A$20,_Requeridos!$R$10:$R$20,"")="SI",X41=""),"Centro",""),IF(AND(_xlfn.XLOOKUP($C$14,_Requeridos!$A$10:$A$20,_Requeridos!$S$10:$S$20,"")="SI",Y41=""),"Código País",""),IF(AND(_xlfn.XLOOKUP($C$14,_Requeridos!$A$10:$A$20,_Requeridos!$T$10:$T$20,"")="SI",Z41=""),"Emplazamiento",""),IF(AND(_xlfn.XLOOKUP($C$14,_Requeridos!$A$10:$A$20,_Requeridos!$U$10:$U$20,"")="SI",AB41=""),"Centro de Costo",""),IF(AND(_xlfn.XLOOKUP($C$14,_Requeridos!$A$10:$A$20,_Requeridos!$V$10:$V$20,"")="SI",AC41=""),"Número de personal",""),IF(AND(_xlfn.XLOOKUP($C$14,_Requeridos!$A$10:$A$20,_Requeridos!$W$10:$W$20,"")="SI",AH41=""),"Valor Unitario","")),"✅ Completo"))</f>
        <v/>
      </c>
      <c r="AK41" s="52"/>
    </row>
    <row r="42" spans="1:37" s="37" customFormat="1" x14ac:dyDescent="0.35">
      <c r="A42" s="31"/>
      <c r="B42" s="56">
        <v>21</v>
      </c>
      <c r="C42" s="57"/>
      <c r="D42" s="57"/>
      <c r="E42" s="57"/>
      <c r="F42" s="57"/>
      <c r="G42" s="58" t="str">
        <f>IFERROR(_xlfn.XLOOKUP(F42,Clase!$C$2:$C$292,Clase!$B$2:$B$292,""),"")</f>
        <v/>
      </c>
      <c r="H42" s="57"/>
      <c r="I42" s="59"/>
      <c r="J42" s="57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7"/>
      <c r="AC42" s="57"/>
      <c r="AD42" s="58" t="str">
        <f>IFERROR(_xlfn.XLOOKUP(AB42,Ceco!$B$2:$B$901,Ceco!$C$2:$C$901,""),"")</f>
        <v/>
      </c>
      <c r="AE42" s="57"/>
      <c r="AF42" s="57"/>
      <c r="AG42" s="60"/>
      <c r="AH42" s="57"/>
      <c r="AI42" s="61"/>
      <c r="AJ42" s="62" t="str">
        <f>IF(COUNTA(C42,D42,E42,F42,H42,I42,L42,M42,N42,P42,Q42,R42,S42,T42,U42,X42,Y42,Z42,AB42,AC42,AH42)=0,"",IF(LEN(_xlfn.TEXTJOIN(", ",TRUE,IF(AND(_xlfn.XLOOKUP($C$14,_Requeridos!$A$10:$A$20,_Requeridos!$B$10:$B$20,"")="SI",C42=""),"Orden de Inversión",""),IF(AND(_xlfn.XLOOKUP($C$14,_Requeridos!$A$10:$A$20,_Requeridos!$C$10:$C$20,"")="SI",D42=""),"Elemento PEP",""),IF(AND(_xlfn.XLOOKUP($C$14,_Requeridos!$A$10:$A$20,_Requeridos!$D$10:$D$20,"")="SI",E42=""),"Pedido",""),IF(AND(_xlfn.XLOOKUP($C$14,_Requeridos!$A$10:$A$20,_Requeridos!$E$10:$E$20,"")="SI",F42=""),"Descripción Activo SAP",""),IF(AND(_xlfn.XLOOKUP($C$14,_Requeridos!$A$10:$A$20,_Requeridos!$F$10:$F$20,"")="SI",G42=""),"Clase",""),IF(AND(_xlfn.XLOOKUP($C$14,_Requeridos!$A$10:$A$20,_Requeridos!$G$10:$G$20,"")="SI",H42=""),"Cantidad",""),IF(AND(_xlfn.XLOOKUP($C$14,_Requeridos!$A$10:$A$20,_Requeridos!$H$10:$H$20,"")="SI",I42=""),"Nombre principal AF",""),IF(AND(_xlfn.XLOOKUP($C$14,_Requeridos!$A$10:$A$20,_Requeridos!$I$10:$I$20,"")="SI",L42=""),"Fabricante",""),IF(AND(_xlfn.XLOOKUP($C$14,_Requeridos!$A$10:$A$20,_Requeridos!$J$10:$J$20,"")="SI",M42=""),"Nit Proveedor",""),IF(AND(_xlfn.XLOOKUP($C$14,_Requeridos!$A$10:$A$20,_Requeridos!$K$10:$K$20,"")="SI",N42=""),"Serie",""),IF(AND(_xlfn.XLOOKUP($C$14,_Requeridos!$A$10:$A$20,_Requeridos!$L$10:$L$20,"")="SI",P42=""),"Criterio Clas. 1",""),IF(AND(_xlfn.XLOOKUP($C$14,_Requeridos!$A$10:$A$20,_Requeridos!$M$10:$M$20,"")="SI",Q42=""),"Criterio Clas. 2",""),IF(AND(_xlfn.XLOOKUP($C$14,_Requeridos!$A$10:$A$20,_Requeridos!$N$10:$N$20,"")="SI",R42=""),"Criterio Clas. 3",""),IF(AND(_xlfn.XLOOKUP($C$14,_Requeridos!$A$10:$A$20,_Requeridos!$O$10:$O$20,"")="SI",S42=""),"Criterio Clas. 4",""),IF(AND(_xlfn.XLOOKUP($C$14,_Requeridos!$A$10:$A$20,_Requeridos!$P$10:$P$20,"")="SI",T42=""),"Criterio Clas. 5",""),IF(AND(_xlfn.XLOOKUP($C$14,_Requeridos!$A$10:$A$20,_Requeridos!$Q$10:$Q$20,"")="SI",U42=""),"Ubicación técnica",""),IF(AND(_xlfn.XLOOKUP($C$14,_Requeridos!$A$10:$A$20,_Requeridos!$R$10:$R$20,"")="SI",X42=""),"Centro",""),IF(AND(_xlfn.XLOOKUP($C$14,_Requeridos!$A$10:$A$20,_Requeridos!$S$10:$S$20,"")="SI",Y42=""),"Código País",""),IF(AND(_xlfn.XLOOKUP($C$14,_Requeridos!$A$10:$A$20,_Requeridos!$T$10:$T$20,"")="SI",Z42=""),"Emplazamiento",""),IF(AND(_xlfn.XLOOKUP($C$14,_Requeridos!$A$10:$A$20,_Requeridos!$U$10:$U$20,"")="SI",AB42=""),"Centro de Costo",""),IF(AND(_xlfn.XLOOKUP($C$14,_Requeridos!$A$10:$A$20,_Requeridos!$V$10:$V$20,"")="SI",AC42=""),"Número de personal",""),IF(AND(_xlfn.XLOOKUP($C$14,_Requeridos!$A$10:$A$20,_Requeridos!$W$10:$W$20,"")="SI",AH42=""),"Valor Unitario","")))&gt;0,"⚠️ Faltan: "&amp;_xlfn.TEXTJOIN(", ",TRUE,IF(AND(_xlfn.XLOOKUP($C$14,_Requeridos!$A$10:$A$20,_Requeridos!$B$10:$B$20,"")="SI",C42=""),"Orden de Inversión",""),IF(AND(_xlfn.XLOOKUP($C$14,_Requeridos!$A$10:$A$20,_Requeridos!$C$10:$C$20,"")="SI",D42=""),"Elemento PEP",""),IF(AND(_xlfn.XLOOKUP($C$14,_Requeridos!$A$10:$A$20,_Requeridos!$D$10:$D$20,"")="SI",E42=""),"Pedido",""),IF(AND(_xlfn.XLOOKUP($C$14,_Requeridos!$A$10:$A$20,_Requeridos!$E$10:$E$20,"")="SI",F42=""),"Descripción Activo SAP",""),IF(AND(_xlfn.XLOOKUP($C$14,_Requeridos!$A$10:$A$20,_Requeridos!$F$10:$F$20,"")="SI",G42=""),"Clase",""),IF(AND(_xlfn.XLOOKUP($C$14,_Requeridos!$A$10:$A$20,_Requeridos!$G$10:$G$20,"")="SI",H42=""),"Cantidad",""),IF(AND(_xlfn.XLOOKUP($C$14,_Requeridos!$A$10:$A$20,_Requeridos!$H$10:$H$20,"")="SI",I42=""),"Nombre principal AF",""),IF(AND(_xlfn.XLOOKUP($C$14,_Requeridos!$A$10:$A$20,_Requeridos!$I$10:$I$20,"")="SI",L42=""),"Fabricante",""),IF(AND(_xlfn.XLOOKUP($C$14,_Requeridos!$A$10:$A$20,_Requeridos!$J$10:$J$20,"")="SI",M42=""),"Nit Proveedor",""),IF(AND(_xlfn.XLOOKUP($C$14,_Requeridos!$A$10:$A$20,_Requeridos!$K$10:$K$20,"")="SI",N42=""),"Serie",""),IF(AND(_xlfn.XLOOKUP($C$14,_Requeridos!$A$10:$A$20,_Requeridos!$L$10:$L$20,"")="SI",P42=""),"Criterio Clas. 1",""),IF(AND(_xlfn.XLOOKUP($C$14,_Requeridos!$A$10:$A$20,_Requeridos!$M$10:$M$20,"")="SI",Q42=""),"Criterio Clas. 2",""),IF(AND(_xlfn.XLOOKUP($C$14,_Requeridos!$A$10:$A$20,_Requeridos!$N$10:$N$20,"")="SI",R42=""),"Criterio Clas. 3",""),IF(AND(_xlfn.XLOOKUP($C$14,_Requeridos!$A$10:$A$20,_Requeridos!$O$10:$O$20,"")="SI",S42=""),"Criterio Clas. 4",""),IF(AND(_xlfn.XLOOKUP($C$14,_Requeridos!$A$10:$A$20,_Requeridos!$P$10:$P$20,"")="SI",T42=""),"Criterio Clas. 5",""),IF(AND(_xlfn.XLOOKUP($C$14,_Requeridos!$A$10:$A$20,_Requeridos!$Q$10:$Q$20,"")="SI",U42=""),"Ubicación técnica",""),IF(AND(_xlfn.XLOOKUP($C$14,_Requeridos!$A$10:$A$20,_Requeridos!$R$10:$R$20,"")="SI",X42=""),"Centro",""),IF(AND(_xlfn.XLOOKUP($C$14,_Requeridos!$A$10:$A$20,_Requeridos!$S$10:$S$20,"")="SI",Y42=""),"Código País",""),IF(AND(_xlfn.XLOOKUP($C$14,_Requeridos!$A$10:$A$20,_Requeridos!$T$10:$T$20,"")="SI",Z42=""),"Emplazamiento",""),IF(AND(_xlfn.XLOOKUP($C$14,_Requeridos!$A$10:$A$20,_Requeridos!$U$10:$U$20,"")="SI",AB42=""),"Centro de Costo",""),IF(AND(_xlfn.XLOOKUP($C$14,_Requeridos!$A$10:$A$20,_Requeridos!$V$10:$V$20,"")="SI",AC42=""),"Número de personal",""),IF(AND(_xlfn.XLOOKUP($C$14,_Requeridos!$A$10:$A$20,_Requeridos!$W$10:$W$20,"")="SI",AH42=""),"Valor Unitario","")),"✅ Completo"))</f>
        <v/>
      </c>
      <c r="AK42" s="52"/>
    </row>
    <row r="43" spans="1:37" s="37" customFormat="1" x14ac:dyDescent="0.35">
      <c r="A43" s="31"/>
      <c r="B43" s="56">
        <v>22</v>
      </c>
      <c r="C43" s="57"/>
      <c r="D43" s="57"/>
      <c r="E43" s="57"/>
      <c r="F43" s="57"/>
      <c r="G43" s="58" t="str">
        <f>IFERROR(_xlfn.XLOOKUP(F43,Clase!$C$2:$C$292,Clase!$B$2:$B$292,""),"")</f>
        <v/>
      </c>
      <c r="H43" s="57"/>
      <c r="I43" s="59"/>
      <c r="J43" s="57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7"/>
      <c r="AC43" s="57"/>
      <c r="AD43" s="58" t="str">
        <f>IFERROR(_xlfn.XLOOKUP(AB43,Ceco!$B$2:$B$901,Ceco!$C$2:$C$901,""),"")</f>
        <v/>
      </c>
      <c r="AE43" s="57"/>
      <c r="AF43" s="57"/>
      <c r="AG43" s="60"/>
      <c r="AH43" s="57"/>
      <c r="AI43" s="61"/>
      <c r="AJ43" s="62" t="str">
        <f>IF(COUNTA(C43,D43,E43,F43,H43,I43,L43,M43,N43,P43,Q43,R43,S43,T43,U43,X43,Y43,Z43,AB43,AC43,AH43)=0,"",IF(LEN(_xlfn.TEXTJOIN(", ",TRUE,IF(AND(_xlfn.XLOOKUP($C$14,_Requeridos!$A$10:$A$20,_Requeridos!$B$10:$B$20,"")="SI",C43=""),"Orden de Inversión",""),IF(AND(_xlfn.XLOOKUP($C$14,_Requeridos!$A$10:$A$20,_Requeridos!$C$10:$C$20,"")="SI",D43=""),"Elemento PEP",""),IF(AND(_xlfn.XLOOKUP($C$14,_Requeridos!$A$10:$A$20,_Requeridos!$D$10:$D$20,"")="SI",E43=""),"Pedido",""),IF(AND(_xlfn.XLOOKUP($C$14,_Requeridos!$A$10:$A$20,_Requeridos!$E$10:$E$20,"")="SI",F43=""),"Descripción Activo SAP",""),IF(AND(_xlfn.XLOOKUP($C$14,_Requeridos!$A$10:$A$20,_Requeridos!$F$10:$F$20,"")="SI",G43=""),"Clase",""),IF(AND(_xlfn.XLOOKUP($C$14,_Requeridos!$A$10:$A$20,_Requeridos!$G$10:$G$20,"")="SI",H43=""),"Cantidad",""),IF(AND(_xlfn.XLOOKUP($C$14,_Requeridos!$A$10:$A$20,_Requeridos!$H$10:$H$20,"")="SI",I43=""),"Nombre principal AF",""),IF(AND(_xlfn.XLOOKUP($C$14,_Requeridos!$A$10:$A$20,_Requeridos!$I$10:$I$20,"")="SI",L43=""),"Fabricante",""),IF(AND(_xlfn.XLOOKUP($C$14,_Requeridos!$A$10:$A$20,_Requeridos!$J$10:$J$20,"")="SI",M43=""),"Nit Proveedor",""),IF(AND(_xlfn.XLOOKUP($C$14,_Requeridos!$A$10:$A$20,_Requeridos!$K$10:$K$20,"")="SI",N43=""),"Serie",""),IF(AND(_xlfn.XLOOKUP($C$14,_Requeridos!$A$10:$A$20,_Requeridos!$L$10:$L$20,"")="SI",P43=""),"Criterio Clas. 1",""),IF(AND(_xlfn.XLOOKUP($C$14,_Requeridos!$A$10:$A$20,_Requeridos!$M$10:$M$20,"")="SI",Q43=""),"Criterio Clas. 2",""),IF(AND(_xlfn.XLOOKUP($C$14,_Requeridos!$A$10:$A$20,_Requeridos!$N$10:$N$20,"")="SI",R43=""),"Criterio Clas. 3",""),IF(AND(_xlfn.XLOOKUP($C$14,_Requeridos!$A$10:$A$20,_Requeridos!$O$10:$O$20,"")="SI",S43=""),"Criterio Clas. 4",""),IF(AND(_xlfn.XLOOKUP($C$14,_Requeridos!$A$10:$A$20,_Requeridos!$P$10:$P$20,"")="SI",T43=""),"Criterio Clas. 5",""),IF(AND(_xlfn.XLOOKUP($C$14,_Requeridos!$A$10:$A$20,_Requeridos!$Q$10:$Q$20,"")="SI",U43=""),"Ubicación técnica",""),IF(AND(_xlfn.XLOOKUP($C$14,_Requeridos!$A$10:$A$20,_Requeridos!$R$10:$R$20,"")="SI",X43=""),"Centro",""),IF(AND(_xlfn.XLOOKUP($C$14,_Requeridos!$A$10:$A$20,_Requeridos!$S$10:$S$20,"")="SI",Y43=""),"Código País",""),IF(AND(_xlfn.XLOOKUP($C$14,_Requeridos!$A$10:$A$20,_Requeridos!$T$10:$T$20,"")="SI",Z43=""),"Emplazamiento",""),IF(AND(_xlfn.XLOOKUP($C$14,_Requeridos!$A$10:$A$20,_Requeridos!$U$10:$U$20,"")="SI",AB43=""),"Centro de Costo",""),IF(AND(_xlfn.XLOOKUP($C$14,_Requeridos!$A$10:$A$20,_Requeridos!$V$10:$V$20,"")="SI",AC43=""),"Número de personal",""),IF(AND(_xlfn.XLOOKUP($C$14,_Requeridos!$A$10:$A$20,_Requeridos!$W$10:$W$20,"")="SI",AH43=""),"Valor Unitario","")))&gt;0,"⚠️ Faltan: "&amp;_xlfn.TEXTJOIN(", ",TRUE,IF(AND(_xlfn.XLOOKUP($C$14,_Requeridos!$A$10:$A$20,_Requeridos!$B$10:$B$20,"")="SI",C43=""),"Orden de Inversión",""),IF(AND(_xlfn.XLOOKUP($C$14,_Requeridos!$A$10:$A$20,_Requeridos!$C$10:$C$20,"")="SI",D43=""),"Elemento PEP",""),IF(AND(_xlfn.XLOOKUP($C$14,_Requeridos!$A$10:$A$20,_Requeridos!$D$10:$D$20,"")="SI",E43=""),"Pedido",""),IF(AND(_xlfn.XLOOKUP($C$14,_Requeridos!$A$10:$A$20,_Requeridos!$E$10:$E$20,"")="SI",F43=""),"Descripción Activo SAP",""),IF(AND(_xlfn.XLOOKUP($C$14,_Requeridos!$A$10:$A$20,_Requeridos!$F$10:$F$20,"")="SI",G43=""),"Clase",""),IF(AND(_xlfn.XLOOKUP($C$14,_Requeridos!$A$10:$A$20,_Requeridos!$G$10:$G$20,"")="SI",H43=""),"Cantidad",""),IF(AND(_xlfn.XLOOKUP($C$14,_Requeridos!$A$10:$A$20,_Requeridos!$H$10:$H$20,"")="SI",I43=""),"Nombre principal AF",""),IF(AND(_xlfn.XLOOKUP($C$14,_Requeridos!$A$10:$A$20,_Requeridos!$I$10:$I$20,"")="SI",L43=""),"Fabricante",""),IF(AND(_xlfn.XLOOKUP($C$14,_Requeridos!$A$10:$A$20,_Requeridos!$J$10:$J$20,"")="SI",M43=""),"Nit Proveedor",""),IF(AND(_xlfn.XLOOKUP($C$14,_Requeridos!$A$10:$A$20,_Requeridos!$K$10:$K$20,"")="SI",N43=""),"Serie",""),IF(AND(_xlfn.XLOOKUP($C$14,_Requeridos!$A$10:$A$20,_Requeridos!$L$10:$L$20,"")="SI",P43=""),"Criterio Clas. 1",""),IF(AND(_xlfn.XLOOKUP($C$14,_Requeridos!$A$10:$A$20,_Requeridos!$M$10:$M$20,"")="SI",Q43=""),"Criterio Clas. 2",""),IF(AND(_xlfn.XLOOKUP($C$14,_Requeridos!$A$10:$A$20,_Requeridos!$N$10:$N$20,"")="SI",R43=""),"Criterio Clas. 3",""),IF(AND(_xlfn.XLOOKUP($C$14,_Requeridos!$A$10:$A$20,_Requeridos!$O$10:$O$20,"")="SI",S43=""),"Criterio Clas. 4",""),IF(AND(_xlfn.XLOOKUP($C$14,_Requeridos!$A$10:$A$20,_Requeridos!$P$10:$P$20,"")="SI",T43=""),"Criterio Clas. 5",""),IF(AND(_xlfn.XLOOKUP($C$14,_Requeridos!$A$10:$A$20,_Requeridos!$Q$10:$Q$20,"")="SI",U43=""),"Ubicación técnica",""),IF(AND(_xlfn.XLOOKUP($C$14,_Requeridos!$A$10:$A$20,_Requeridos!$R$10:$R$20,"")="SI",X43=""),"Centro",""),IF(AND(_xlfn.XLOOKUP($C$14,_Requeridos!$A$10:$A$20,_Requeridos!$S$10:$S$20,"")="SI",Y43=""),"Código País",""),IF(AND(_xlfn.XLOOKUP($C$14,_Requeridos!$A$10:$A$20,_Requeridos!$T$10:$T$20,"")="SI",Z43=""),"Emplazamiento",""),IF(AND(_xlfn.XLOOKUP($C$14,_Requeridos!$A$10:$A$20,_Requeridos!$U$10:$U$20,"")="SI",AB43=""),"Centro de Costo",""),IF(AND(_xlfn.XLOOKUP($C$14,_Requeridos!$A$10:$A$20,_Requeridos!$V$10:$V$20,"")="SI",AC43=""),"Número de personal",""),IF(AND(_xlfn.XLOOKUP($C$14,_Requeridos!$A$10:$A$20,_Requeridos!$W$10:$W$20,"")="SI",AH43=""),"Valor Unitario","")),"✅ Completo"))</f>
        <v/>
      </c>
      <c r="AK43" s="52"/>
    </row>
    <row r="44" spans="1:37" s="37" customFormat="1" x14ac:dyDescent="0.35">
      <c r="A44" s="31"/>
      <c r="B44" s="56">
        <v>23</v>
      </c>
      <c r="C44" s="57"/>
      <c r="D44" s="57"/>
      <c r="E44" s="57"/>
      <c r="F44" s="57"/>
      <c r="G44" s="58" t="str">
        <f>IFERROR(_xlfn.XLOOKUP(F44,Clase!$C$2:$C$292,Clase!$B$2:$B$292,""),"")</f>
        <v/>
      </c>
      <c r="H44" s="57"/>
      <c r="I44" s="59"/>
      <c r="J44" s="57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7"/>
      <c r="AC44" s="57"/>
      <c r="AD44" s="58" t="str">
        <f>IFERROR(_xlfn.XLOOKUP(AB44,Ceco!$B$2:$B$901,Ceco!$C$2:$C$901,""),"")</f>
        <v/>
      </c>
      <c r="AE44" s="57"/>
      <c r="AF44" s="57"/>
      <c r="AG44" s="60"/>
      <c r="AH44" s="57"/>
      <c r="AI44" s="61"/>
      <c r="AJ44" s="62" t="str">
        <f>IF(COUNTA(C44,D44,E44,F44,H44,I44,L44,M44,N44,P44,Q44,R44,S44,T44,U44,X44,Y44,Z44,AB44,AC44,AH44)=0,"",IF(LEN(_xlfn.TEXTJOIN(", ",TRUE,IF(AND(_xlfn.XLOOKUP($C$14,_Requeridos!$A$10:$A$20,_Requeridos!$B$10:$B$20,"")="SI",C44=""),"Orden de Inversión",""),IF(AND(_xlfn.XLOOKUP($C$14,_Requeridos!$A$10:$A$20,_Requeridos!$C$10:$C$20,"")="SI",D44=""),"Elemento PEP",""),IF(AND(_xlfn.XLOOKUP($C$14,_Requeridos!$A$10:$A$20,_Requeridos!$D$10:$D$20,"")="SI",E44=""),"Pedido",""),IF(AND(_xlfn.XLOOKUP($C$14,_Requeridos!$A$10:$A$20,_Requeridos!$E$10:$E$20,"")="SI",F44=""),"Descripción Activo SAP",""),IF(AND(_xlfn.XLOOKUP($C$14,_Requeridos!$A$10:$A$20,_Requeridos!$F$10:$F$20,"")="SI",G44=""),"Clase",""),IF(AND(_xlfn.XLOOKUP($C$14,_Requeridos!$A$10:$A$20,_Requeridos!$G$10:$G$20,"")="SI",H44=""),"Cantidad",""),IF(AND(_xlfn.XLOOKUP($C$14,_Requeridos!$A$10:$A$20,_Requeridos!$H$10:$H$20,"")="SI",I44=""),"Nombre principal AF",""),IF(AND(_xlfn.XLOOKUP($C$14,_Requeridos!$A$10:$A$20,_Requeridos!$I$10:$I$20,"")="SI",L44=""),"Fabricante",""),IF(AND(_xlfn.XLOOKUP($C$14,_Requeridos!$A$10:$A$20,_Requeridos!$J$10:$J$20,"")="SI",M44=""),"Nit Proveedor",""),IF(AND(_xlfn.XLOOKUP($C$14,_Requeridos!$A$10:$A$20,_Requeridos!$K$10:$K$20,"")="SI",N44=""),"Serie",""),IF(AND(_xlfn.XLOOKUP($C$14,_Requeridos!$A$10:$A$20,_Requeridos!$L$10:$L$20,"")="SI",P44=""),"Criterio Clas. 1",""),IF(AND(_xlfn.XLOOKUP($C$14,_Requeridos!$A$10:$A$20,_Requeridos!$M$10:$M$20,"")="SI",Q44=""),"Criterio Clas. 2",""),IF(AND(_xlfn.XLOOKUP($C$14,_Requeridos!$A$10:$A$20,_Requeridos!$N$10:$N$20,"")="SI",R44=""),"Criterio Clas. 3",""),IF(AND(_xlfn.XLOOKUP($C$14,_Requeridos!$A$10:$A$20,_Requeridos!$O$10:$O$20,"")="SI",S44=""),"Criterio Clas. 4",""),IF(AND(_xlfn.XLOOKUP($C$14,_Requeridos!$A$10:$A$20,_Requeridos!$P$10:$P$20,"")="SI",T44=""),"Criterio Clas. 5",""),IF(AND(_xlfn.XLOOKUP($C$14,_Requeridos!$A$10:$A$20,_Requeridos!$Q$10:$Q$20,"")="SI",U44=""),"Ubicación técnica",""),IF(AND(_xlfn.XLOOKUP($C$14,_Requeridos!$A$10:$A$20,_Requeridos!$R$10:$R$20,"")="SI",X44=""),"Centro",""),IF(AND(_xlfn.XLOOKUP($C$14,_Requeridos!$A$10:$A$20,_Requeridos!$S$10:$S$20,"")="SI",Y44=""),"Código País",""),IF(AND(_xlfn.XLOOKUP($C$14,_Requeridos!$A$10:$A$20,_Requeridos!$T$10:$T$20,"")="SI",Z44=""),"Emplazamiento",""),IF(AND(_xlfn.XLOOKUP($C$14,_Requeridos!$A$10:$A$20,_Requeridos!$U$10:$U$20,"")="SI",AB44=""),"Centro de Costo",""),IF(AND(_xlfn.XLOOKUP($C$14,_Requeridos!$A$10:$A$20,_Requeridos!$V$10:$V$20,"")="SI",AC44=""),"Número de personal",""),IF(AND(_xlfn.XLOOKUP($C$14,_Requeridos!$A$10:$A$20,_Requeridos!$W$10:$W$20,"")="SI",AH44=""),"Valor Unitario","")))&gt;0,"⚠️ Faltan: "&amp;_xlfn.TEXTJOIN(", ",TRUE,IF(AND(_xlfn.XLOOKUP($C$14,_Requeridos!$A$10:$A$20,_Requeridos!$B$10:$B$20,"")="SI",C44=""),"Orden de Inversión",""),IF(AND(_xlfn.XLOOKUP($C$14,_Requeridos!$A$10:$A$20,_Requeridos!$C$10:$C$20,"")="SI",D44=""),"Elemento PEP",""),IF(AND(_xlfn.XLOOKUP($C$14,_Requeridos!$A$10:$A$20,_Requeridos!$D$10:$D$20,"")="SI",E44=""),"Pedido",""),IF(AND(_xlfn.XLOOKUP($C$14,_Requeridos!$A$10:$A$20,_Requeridos!$E$10:$E$20,"")="SI",F44=""),"Descripción Activo SAP",""),IF(AND(_xlfn.XLOOKUP($C$14,_Requeridos!$A$10:$A$20,_Requeridos!$F$10:$F$20,"")="SI",G44=""),"Clase",""),IF(AND(_xlfn.XLOOKUP($C$14,_Requeridos!$A$10:$A$20,_Requeridos!$G$10:$G$20,"")="SI",H44=""),"Cantidad",""),IF(AND(_xlfn.XLOOKUP($C$14,_Requeridos!$A$10:$A$20,_Requeridos!$H$10:$H$20,"")="SI",I44=""),"Nombre principal AF",""),IF(AND(_xlfn.XLOOKUP($C$14,_Requeridos!$A$10:$A$20,_Requeridos!$I$10:$I$20,"")="SI",L44=""),"Fabricante",""),IF(AND(_xlfn.XLOOKUP($C$14,_Requeridos!$A$10:$A$20,_Requeridos!$J$10:$J$20,"")="SI",M44=""),"Nit Proveedor",""),IF(AND(_xlfn.XLOOKUP($C$14,_Requeridos!$A$10:$A$20,_Requeridos!$K$10:$K$20,"")="SI",N44=""),"Serie",""),IF(AND(_xlfn.XLOOKUP($C$14,_Requeridos!$A$10:$A$20,_Requeridos!$L$10:$L$20,"")="SI",P44=""),"Criterio Clas. 1",""),IF(AND(_xlfn.XLOOKUP($C$14,_Requeridos!$A$10:$A$20,_Requeridos!$M$10:$M$20,"")="SI",Q44=""),"Criterio Clas. 2",""),IF(AND(_xlfn.XLOOKUP($C$14,_Requeridos!$A$10:$A$20,_Requeridos!$N$10:$N$20,"")="SI",R44=""),"Criterio Clas. 3",""),IF(AND(_xlfn.XLOOKUP($C$14,_Requeridos!$A$10:$A$20,_Requeridos!$O$10:$O$20,"")="SI",S44=""),"Criterio Clas. 4",""),IF(AND(_xlfn.XLOOKUP($C$14,_Requeridos!$A$10:$A$20,_Requeridos!$P$10:$P$20,"")="SI",T44=""),"Criterio Clas. 5",""),IF(AND(_xlfn.XLOOKUP($C$14,_Requeridos!$A$10:$A$20,_Requeridos!$Q$10:$Q$20,"")="SI",U44=""),"Ubicación técnica",""),IF(AND(_xlfn.XLOOKUP($C$14,_Requeridos!$A$10:$A$20,_Requeridos!$R$10:$R$20,"")="SI",X44=""),"Centro",""),IF(AND(_xlfn.XLOOKUP($C$14,_Requeridos!$A$10:$A$20,_Requeridos!$S$10:$S$20,"")="SI",Y44=""),"Código País",""),IF(AND(_xlfn.XLOOKUP($C$14,_Requeridos!$A$10:$A$20,_Requeridos!$T$10:$T$20,"")="SI",Z44=""),"Emplazamiento",""),IF(AND(_xlfn.XLOOKUP($C$14,_Requeridos!$A$10:$A$20,_Requeridos!$U$10:$U$20,"")="SI",AB44=""),"Centro de Costo",""),IF(AND(_xlfn.XLOOKUP($C$14,_Requeridos!$A$10:$A$20,_Requeridos!$V$10:$V$20,"")="SI",AC44=""),"Número de personal",""),IF(AND(_xlfn.XLOOKUP($C$14,_Requeridos!$A$10:$A$20,_Requeridos!$W$10:$W$20,"")="SI",AH44=""),"Valor Unitario","")),"✅ Completo"))</f>
        <v/>
      </c>
      <c r="AK44" s="52"/>
    </row>
    <row r="45" spans="1:37" s="37" customFormat="1" x14ac:dyDescent="0.35">
      <c r="A45" s="31"/>
      <c r="B45" s="56">
        <v>24</v>
      </c>
      <c r="C45" s="57"/>
      <c r="D45" s="57"/>
      <c r="E45" s="57"/>
      <c r="F45" s="57"/>
      <c r="G45" s="58" t="str">
        <f>IFERROR(_xlfn.XLOOKUP(F45,Clase!$C$2:$C$292,Clase!$B$2:$B$292,""),"")</f>
        <v/>
      </c>
      <c r="H45" s="57"/>
      <c r="I45" s="59"/>
      <c r="J45" s="57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7"/>
      <c r="AC45" s="57"/>
      <c r="AD45" s="58" t="str">
        <f>IFERROR(_xlfn.XLOOKUP(AB45,Ceco!$B$2:$B$901,Ceco!$C$2:$C$901,""),"")</f>
        <v/>
      </c>
      <c r="AE45" s="57"/>
      <c r="AF45" s="57"/>
      <c r="AG45" s="60"/>
      <c r="AH45" s="57"/>
      <c r="AI45" s="61"/>
      <c r="AJ45" s="62" t="str">
        <f>IF(COUNTA(C45,D45,E45,F45,H45,I45,L45,M45,N45,P45,Q45,R45,S45,T45,U45,X45,Y45,Z45,AB45,AC45,AH45)=0,"",IF(LEN(_xlfn.TEXTJOIN(", ",TRUE,IF(AND(_xlfn.XLOOKUP($C$14,_Requeridos!$A$10:$A$20,_Requeridos!$B$10:$B$20,"")="SI",C45=""),"Orden de Inversión",""),IF(AND(_xlfn.XLOOKUP($C$14,_Requeridos!$A$10:$A$20,_Requeridos!$C$10:$C$20,"")="SI",D45=""),"Elemento PEP",""),IF(AND(_xlfn.XLOOKUP($C$14,_Requeridos!$A$10:$A$20,_Requeridos!$D$10:$D$20,"")="SI",E45=""),"Pedido",""),IF(AND(_xlfn.XLOOKUP($C$14,_Requeridos!$A$10:$A$20,_Requeridos!$E$10:$E$20,"")="SI",F45=""),"Descripción Activo SAP",""),IF(AND(_xlfn.XLOOKUP($C$14,_Requeridos!$A$10:$A$20,_Requeridos!$F$10:$F$20,"")="SI",G45=""),"Clase",""),IF(AND(_xlfn.XLOOKUP($C$14,_Requeridos!$A$10:$A$20,_Requeridos!$G$10:$G$20,"")="SI",H45=""),"Cantidad",""),IF(AND(_xlfn.XLOOKUP($C$14,_Requeridos!$A$10:$A$20,_Requeridos!$H$10:$H$20,"")="SI",I45=""),"Nombre principal AF",""),IF(AND(_xlfn.XLOOKUP($C$14,_Requeridos!$A$10:$A$20,_Requeridos!$I$10:$I$20,"")="SI",L45=""),"Fabricante",""),IF(AND(_xlfn.XLOOKUP($C$14,_Requeridos!$A$10:$A$20,_Requeridos!$J$10:$J$20,"")="SI",M45=""),"Nit Proveedor",""),IF(AND(_xlfn.XLOOKUP($C$14,_Requeridos!$A$10:$A$20,_Requeridos!$K$10:$K$20,"")="SI",N45=""),"Serie",""),IF(AND(_xlfn.XLOOKUP($C$14,_Requeridos!$A$10:$A$20,_Requeridos!$L$10:$L$20,"")="SI",P45=""),"Criterio Clas. 1",""),IF(AND(_xlfn.XLOOKUP($C$14,_Requeridos!$A$10:$A$20,_Requeridos!$M$10:$M$20,"")="SI",Q45=""),"Criterio Clas. 2",""),IF(AND(_xlfn.XLOOKUP($C$14,_Requeridos!$A$10:$A$20,_Requeridos!$N$10:$N$20,"")="SI",R45=""),"Criterio Clas. 3",""),IF(AND(_xlfn.XLOOKUP($C$14,_Requeridos!$A$10:$A$20,_Requeridos!$O$10:$O$20,"")="SI",S45=""),"Criterio Clas. 4",""),IF(AND(_xlfn.XLOOKUP($C$14,_Requeridos!$A$10:$A$20,_Requeridos!$P$10:$P$20,"")="SI",T45=""),"Criterio Clas. 5",""),IF(AND(_xlfn.XLOOKUP($C$14,_Requeridos!$A$10:$A$20,_Requeridos!$Q$10:$Q$20,"")="SI",U45=""),"Ubicación técnica",""),IF(AND(_xlfn.XLOOKUP($C$14,_Requeridos!$A$10:$A$20,_Requeridos!$R$10:$R$20,"")="SI",X45=""),"Centro",""),IF(AND(_xlfn.XLOOKUP($C$14,_Requeridos!$A$10:$A$20,_Requeridos!$S$10:$S$20,"")="SI",Y45=""),"Código País",""),IF(AND(_xlfn.XLOOKUP($C$14,_Requeridos!$A$10:$A$20,_Requeridos!$T$10:$T$20,"")="SI",Z45=""),"Emplazamiento",""),IF(AND(_xlfn.XLOOKUP($C$14,_Requeridos!$A$10:$A$20,_Requeridos!$U$10:$U$20,"")="SI",AB45=""),"Centro de Costo",""),IF(AND(_xlfn.XLOOKUP($C$14,_Requeridos!$A$10:$A$20,_Requeridos!$V$10:$V$20,"")="SI",AC45=""),"Número de personal",""),IF(AND(_xlfn.XLOOKUP($C$14,_Requeridos!$A$10:$A$20,_Requeridos!$W$10:$W$20,"")="SI",AH45=""),"Valor Unitario","")))&gt;0,"⚠️ Faltan: "&amp;_xlfn.TEXTJOIN(", ",TRUE,IF(AND(_xlfn.XLOOKUP($C$14,_Requeridos!$A$10:$A$20,_Requeridos!$B$10:$B$20,"")="SI",C45=""),"Orden de Inversión",""),IF(AND(_xlfn.XLOOKUP($C$14,_Requeridos!$A$10:$A$20,_Requeridos!$C$10:$C$20,"")="SI",D45=""),"Elemento PEP",""),IF(AND(_xlfn.XLOOKUP($C$14,_Requeridos!$A$10:$A$20,_Requeridos!$D$10:$D$20,"")="SI",E45=""),"Pedido",""),IF(AND(_xlfn.XLOOKUP($C$14,_Requeridos!$A$10:$A$20,_Requeridos!$E$10:$E$20,"")="SI",F45=""),"Descripción Activo SAP",""),IF(AND(_xlfn.XLOOKUP($C$14,_Requeridos!$A$10:$A$20,_Requeridos!$F$10:$F$20,"")="SI",G45=""),"Clase",""),IF(AND(_xlfn.XLOOKUP($C$14,_Requeridos!$A$10:$A$20,_Requeridos!$G$10:$G$20,"")="SI",H45=""),"Cantidad",""),IF(AND(_xlfn.XLOOKUP($C$14,_Requeridos!$A$10:$A$20,_Requeridos!$H$10:$H$20,"")="SI",I45=""),"Nombre principal AF",""),IF(AND(_xlfn.XLOOKUP($C$14,_Requeridos!$A$10:$A$20,_Requeridos!$I$10:$I$20,"")="SI",L45=""),"Fabricante",""),IF(AND(_xlfn.XLOOKUP($C$14,_Requeridos!$A$10:$A$20,_Requeridos!$J$10:$J$20,"")="SI",M45=""),"Nit Proveedor",""),IF(AND(_xlfn.XLOOKUP($C$14,_Requeridos!$A$10:$A$20,_Requeridos!$K$10:$K$20,"")="SI",N45=""),"Serie",""),IF(AND(_xlfn.XLOOKUP($C$14,_Requeridos!$A$10:$A$20,_Requeridos!$L$10:$L$20,"")="SI",P45=""),"Criterio Clas. 1",""),IF(AND(_xlfn.XLOOKUP($C$14,_Requeridos!$A$10:$A$20,_Requeridos!$M$10:$M$20,"")="SI",Q45=""),"Criterio Clas. 2",""),IF(AND(_xlfn.XLOOKUP($C$14,_Requeridos!$A$10:$A$20,_Requeridos!$N$10:$N$20,"")="SI",R45=""),"Criterio Clas. 3",""),IF(AND(_xlfn.XLOOKUP($C$14,_Requeridos!$A$10:$A$20,_Requeridos!$O$10:$O$20,"")="SI",S45=""),"Criterio Clas. 4",""),IF(AND(_xlfn.XLOOKUP($C$14,_Requeridos!$A$10:$A$20,_Requeridos!$P$10:$P$20,"")="SI",T45=""),"Criterio Clas. 5",""),IF(AND(_xlfn.XLOOKUP($C$14,_Requeridos!$A$10:$A$20,_Requeridos!$Q$10:$Q$20,"")="SI",U45=""),"Ubicación técnica",""),IF(AND(_xlfn.XLOOKUP($C$14,_Requeridos!$A$10:$A$20,_Requeridos!$R$10:$R$20,"")="SI",X45=""),"Centro",""),IF(AND(_xlfn.XLOOKUP($C$14,_Requeridos!$A$10:$A$20,_Requeridos!$S$10:$S$20,"")="SI",Y45=""),"Código País",""),IF(AND(_xlfn.XLOOKUP($C$14,_Requeridos!$A$10:$A$20,_Requeridos!$T$10:$T$20,"")="SI",Z45=""),"Emplazamiento",""),IF(AND(_xlfn.XLOOKUP($C$14,_Requeridos!$A$10:$A$20,_Requeridos!$U$10:$U$20,"")="SI",AB45=""),"Centro de Costo",""),IF(AND(_xlfn.XLOOKUP($C$14,_Requeridos!$A$10:$A$20,_Requeridos!$V$10:$V$20,"")="SI",AC45=""),"Número de personal",""),IF(AND(_xlfn.XLOOKUP($C$14,_Requeridos!$A$10:$A$20,_Requeridos!$W$10:$W$20,"")="SI",AH45=""),"Valor Unitario","")),"✅ Completo"))</f>
        <v/>
      </c>
      <c r="AK45" s="52"/>
    </row>
    <row r="46" spans="1:37" s="37" customFormat="1" x14ac:dyDescent="0.35">
      <c r="A46" s="31"/>
      <c r="B46" s="56">
        <v>25</v>
      </c>
      <c r="C46" s="57"/>
      <c r="D46" s="57"/>
      <c r="E46" s="57"/>
      <c r="F46" s="57"/>
      <c r="G46" s="58" t="str">
        <f>IFERROR(_xlfn.XLOOKUP(F46,Clase!$C$2:$C$292,Clase!$B$2:$B$292,""),"")</f>
        <v/>
      </c>
      <c r="H46" s="57"/>
      <c r="I46" s="59"/>
      <c r="J46" s="57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7"/>
      <c r="AC46" s="57"/>
      <c r="AD46" s="58" t="str">
        <f>IFERROR(_xlfn.XLOOKUP(AB46,Ceco!$B$2:$B$901,Ceco!$C$2:$C$901,""),"")</f>
        <v/>
      </c>
      <c r="AE46" s="57"/>
      <c r="AF46" s="57"/>
      <c r="AG46" s="60"/>
      <c r="AH46" s="57"/>
      <c r="AI46" s="61"/>
      <c r="AJ46" s="62" t="str">
        <f>IF(COUNTA(C46,D46,E46,F46,H46,I46,L46,M46,N46,P46,Q46,R46,S46,T46,U46,X46,Y46,Z46,AB46,AC46,AH46)=0,"",IF(LEN(_xlfn.TEXTJOIN(", ",TRUE,IF(AND(_xlfn.XLOOKUP($C$14,_Requeridos!$A$10:$A$20,_Requeridos!$B$10:$B$20,"")="SI",C46=""),"Orden de Inversión",""),IF(AND(_xlfn.XLOOKUP($C$14,_Requeridos!$A$10:$A$20,_Requeridos!$C$10:$C$20,"")="SI",D46=""),"Elemento PEP",""),IF(AND(_xlfn.XLOOKUP($C$14,_Requeridos!$A$10:$A$20,_Requeridos!$D$10:$D$20,"")="SI",E46=""),"Pedido",""),IF(AND(_xlfn.XLOOKUP($C$14,_Requeridos!$A$10:$A$20,_Requeridos!$E$10:$E$20,"")="SI",F46=""),"Descripción Activo SAP",""),IF(AND(_xlfn.XLOOKUP($C$14,_Requeridos!$A$10:$A$20,_Requeridos!$F$10:$F$20,"")="SI",G46=""),"Clase",""),IF(AND(_xlfn.XLOOKUP($C$14,_Requeridos!$A$10:$A$20,_Requeridos!$G$10:$G$20,"")="SI",H46=""),"Cantidad",""),IF(AND(_xlfn.XLOOKUP($C$14,_Requeridos!$A$10:$A$20,_Requeridos!$H$10:$H$20,"")="SI",I46=""),"Nombre principal AF",""),IF(AND(_xlfn.XLOOKUP($C$14,_Requeridos!$A$10:$A$20,_Requeridos!$I$10:$I$20,"")="SI",L46=""),"Fabricante",""),IF(AND(_xlfn.XLOOKUP($C$14,_Requeridos!$A$10:$A$20,_Requeridos!$J$10:$J$20,"")="SI",M46=""),"Nit Proveedor",""),IF(AND(_xlfn.XLOOKUP($C$14,_Requeridos!$A$10:$A$20,_Requeridos!$K$10:$K$20,"")="SI",N46=""),"Serie",""),IF(AND(_xlfn.XLOOKUP($C$14,_Requeridos!$A$10:$A$20,_Requeridos!$L$10:$L$20,"")="SI",P46=""),"Criterio Clas. 1",""),IF(AND(_xlfn.XLOOKUP($C$14,_Requeridos!$A$10:$A$20,_Requeridos!$M$10:$M$20,"")="SI",Q46=""),"Criterio Clas. 2",""),IF(AND(_xlfn.XLOOKUP($C$14,_Requeridos!$A$10:$A$20,_Requeridos!$N$10:$N$20,"")="SI",R46=""),"Criterio Clas. 3",""),IF(AND(_xlfn.XLOOKUP($C$14,_Requeridos!$A$10:$A$20,_Requeridos!$O$10:$O$20,"")="SI",S46=""),"Criterio Clas. 4",""),IF(AND(_xlfn.XLOOKUP($C$14,_Requeridos!$A$10:$A$20,_Requeridos!$P$10:$P$20,"")="SI",T46=""),"Criterio Clas. 5",""),IF(AND(_xlfn.XLOOKUP($C$14,_Requeridos!$A$10:$A$20,_Requeridos!$Q$10:$Q$20,"")="SI",U46=""),"Ubicación técnica",""),IF(AND(_xlfn.XLOOKUP($C$14,_Requeridos!$A$10:$A$20,_Requeridos!$R$10:$R$20,"")="SI",X46=""),"Centro",""),IF(AND(_xlfn.XLOOKUP($C$14,_Requeridos!$A$10:$A$20,_Requeridos!$S$10:$S$20,"")="SI",Y46=""),"Código País",""),IF(AND(_xlfn.XLOOKUP($C$14,_Requeridos!$A$10:$A$20,_Requeridos!$T$10:$T$20,"")="SI",Z46=""),"Emplazamiento",""),IF(AND(_xlfn.XLOOKUP($C$14,_Requeridos!$A$10:$A$20,_Requeridos!$U$10:$U$20,"")="SI",AB46=""),"Centro de Costo",""),IF(AND(_xlfn.XLOOKUP($C$14,_Requeridos!$A$10:$A$20,_Requeridos!$V$10:$V$20,"")="SI",AC46=""),"Número de personal",""),IF(AND(_xlfn.XLOOKUP($C$14,_Requeridos!$A$10:$A$20,_Requeridos!$W$10:$W$20,"")="SI",AH46=""),"Valor Unitario","")))&gt;0,"⚠️ Faltan: "&amp;_xlfn.TEXTJOIN(", ",TRUE,IF(AND(_xlfn.XLOOKUP($C$14,_Requeridos!$A$10:$A$20,_Requeridos!$B$10:$B$20,"")="SI",C46=""),"Orden de Inversión",""),IF(AND(_xlfn.XLOOKUP($C$14,_Requeridos!$A$10:$A$20,_Requeridos!$C$10:$C$20,"")="SI",D46=""),"Elemento PEP",""),IF(AND(_xlfn.XLOOKUP($C$14,_Requeridos!$A$10:$A$20,_Requeridos!$D$10:$D$20,"")="SI",E46=""),"Pedido",""),IF(AND(_xlfn.XLOOKUP($C$14,_Requeridos!$A$10:$A$20,_Requeridos!$E$10:$E$20,"")="SI",F46=""),"Descripción Activo SAP",""),IF(AND(_xlfn.XLOOKUP($C$14,_Requeridos!$A$10:$A$20,_Requeridos!$F$10:$F$20,"")="SI",G46=""),"Clase",""),IF(AND(_xlfn.XLOOKUP($C$14,_Requeridos!$A$10:$A$20,_Requeridos!$G$10:$G$20,"")="SI",H46=""),"Cantidad",""),IF(AND(_xlfn.XLOOKUP($C$14,_Requeridos!$A$10:$A$20,_Requeridos!$H$10:$H$20,"")="SI",I46=""),"Nombre principal AF",""),IF(AND(_xlfn.XLOOKUP($C$14,_Requeridos!$A$10:$A$20,_Requeridos!$I$10:$I$20,"")="SI",L46=""),"Fabricante",""),IF(AND(_xlfn.XLOOKUP($C$14,_Requeridos!$A$10:$A$20,_Requeridos!$J$10:$J$20,"")="SI",M46=""),"Nit Proveedor",""),IF(AND(_xlfn.XLOOKUP($C$14,_Requeridos!$A$10:$A$20,_Requeridos!$K$10:$K$20,"")="SI",N46=""),"Serie",""),IF(AND(_xlfn.XLOOKUP($C$14,_Requeridos!$A$10:$A$20,_Requeridos!$L$10:$L$20,"")="SI",P46=""),"Criterio Clas. 1",""),IF(AND(_xlfn.XLOOKUP($C$14,_Requeridos!$A$10:$A$20,_Requeridos!$M$10:$M$20,"")="SI",Q46=""),"Criterio Clas. 2",""),IF(AND(_xlfn.XLOOKUP($C$14,_Requeridos!$A$10:$A$20,_Requeridos!$N$10:$N$20,"")="SI",R46=""),"Criterio Clas. 3",""),IF(AND(_xlfn.XLOOKUP($C$14,_Requeridos!$A$10:$A$20,_Requeridos!$O$10:$O$20,"")="SI",S46=""),"Criterio Clas. 4",""),IF(AND(_xlfn.XLOOKUP($C$14,_Requeridos!$A$10:$A$20,_Requeridos!$P$10:$P$20,"")="SI",T46=""),"Criterio Clas. 5",""),IF(AND(_xlfn.XLOOKUP($C$14,_Requeridos!$A$10:$A$20,_Requeridos!$Q$10:$Q$20,"")="SI",U46=""),"Ubicación técnica",""),IF(AND(_xlfn.XLOOKUP($C$14,_Requeridos!$A$10:$A$20,_Requeridos!$R$10:$R$20,"")="SI",X46=""),"Centro",""),IF(AND(_xlfn.XLOOKUP($C$14,_Requeridos!$A$10:$A$20,_Requeridos!$S$10:$S$20,"")="SI",Y46=""),"Código País",""),IF(AND(_xlfn.XLOOKUP($C$14,_Requeridos!$A$10:$A$20,_Requeridos!$T$10:$T$20,"")="SI",Z46=""),"Emplazamiento",""),IF(AND(_xlfn.XLOOKUP($C$14,_Requeridos!$A$10:$A$20,_Requeridos!$U$10:$U$20,"")="SI",AB46=""),"Centro de Costo",""),IF(AND(_xlfn.XLOOKUP($C$14,_Requeridos!$A$10:$A$20,_Requeridos!$V$10:$V$20,"")="SI",AC46=""),"Número de personal",""),IF(AND(_xlfn.XLOOKUP($C$14,_Requeridos!$A$10:$A$20,_Requeridos!$W$10:$W$20,"")="SI",AH46=""),"Valor Unitario","")),"✅ Completo"))</f>
        <v/>
      </c>
      <c r="AK46" s="52"/>
    </row>
    <row r="47" spans="1:37" s="37" customFormat="1" x14ac:dyDescent="0.35">
      <c r="A47" s="31"/>
      <c r="B47" s="56">
        <v>26</v>
      </c>
      <c r="C47" s="57"/>
      <c r="D47" s="57"/>
      <c r="E47" s="57"/>
      <c r="F47" s="57"/>
      <c r="G47" s="58" t="str">
        <f>IFERROR(_xlfn.XLOOKUP(F47,Clase!$C$2:$C$292,Clase!$B$2:$B$292,""),"")</f>
        <v/>
      </c>
      <c r="H47" s="57"/>
      <c r="I47" s="59"/>
      <c r="J47" s="57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7"/>
      <c r="AC47" s="57"/>
      <c r="AD47" s="58" t="str">
        <f>IFERROR(_xlfn.XLOOKUP(AB47,Ceco!$B$2:$B$901,Ceco!$C$2:$C$901,""),"")</f>
        <v/>
      </c>
      <c r="AE47" s="57"/>
      <c r="AF47" s="57"/>
      <c r="AG47" s="60"/>
      <c r="AH47" s="57"/>
      <c r="AI47" s="61"/>
      <c r="AJ47" s="62" t="str">
        <f>IF(COUNTA(C47,D47,E47,F47,H47,I47,L47,M47,N47,P47,Q47,R47,S47,T47,U47,X47,Y47,Z47,AB47,AC47,AH47)=0,"",IF(LEN(_xlfn.TEXTJOIN(", ",TRUE,IF(AND(_xlfn.XLOOKUP($C$14,_Requeridos!$A$10:$A$20,_Requeridos!$B$10:$B$20,"")="SI",C47=""),"Orden de Inversión",""),IF(AND(_xlfn.XLOOKUP($C$14,_Requeridos!$A$10:$A$20,_Requeridos!$C$10:$C$20,"")="SI",D47=""),"Elemento PEP",""),IF(AND(_xlfn.XLOOKUP($C$14,_Requeridos!$A$10:$A$20,_Requeridos!$D$10:$D$20,"")="SI",E47=""),"Pedido",""),IF(AND(_xlfn.XLOOKUP($C$14,_Requeridos!$A$10:$A$20,_Requeridos!$E$10:$E$20,"")="SI",F47=""),"Descripción Activo SAP",""),IF(AND(_xlfn.XLOOKUP($C$14,_Requeridos!$A$10:$A$20,_Requeridos!$F$10:$F$20,"")="SI",G47=""),"Clase",""),IF(AND(_xlfn.XLOOKUP($C$14,_Requeridos!$A$10:$A$20,_Requeridos!$G$10:$G$20,"")="SI",H47=""),"Cantidad",""),IF(AND(_xlfn.XLOOKUP($C$14,_Requeridos!$A$10:$A$20,_Requeridos!$H$10:$H$20,"")="SI",I47=""),"Nombre principal AF",""),IF(AND(_xlfn.XLOOKUP($C$14,_Requeridos!$A$10:$A$20,_Requeridos!$I$10:$I$20,"")="SI",L47=""),"Fabricante",""),IF(AND(_xlfn.XLOOKUP($C$14,_Requeridos!$A$10:$A$20,_Requeridos!$J$10:$J$20,"")="SI",M47=""),"Nit Proveedor",""),IF(AND(_xlfn.XLOOKUP($C$14,_Requeridos!$A$10:$A$20,_Requeridos!$K$10:$K$20,"")="SI",N47=""),"Serie",""),IF(AND(_xlfn.XLOOKUP($C$14,_Requeridos!$A$10:$A$20,_Requeridos!$L$10:$L$20,"")="SI",P47=""),"Criterio Clas. 1",""),IF(AND(_xlfn.XLOOKUP($C$14,_Requeridos!$A$10:$A$20,_Requeridos!$M$10:$M$20,"")="SI",Q47=""),"Criterio Clas. 2",""),IF(AND(_xlfn.XLOOKUP($C$14,_Requeridos!$A$10:$A$20,_Requeridos!$N$10:$N$20,"")="SI",R47=""),"Criterio Clas. 3",""),IF(AND(_xlfn.XLOOKUP($C$14,_Requeridos!$A$10:$A$20,_Requeridos!$O$10:$O$20,"")="SI",S47=""),"Criterio Clas. 4",""),IF(AND(_xlfn.XLOOKUP($C$14,_Requeridos!$A$10:$A$20,_Requeridos!$P$10:$P$20,"")="SI",T47=""),"Criterio Clas. 5",""),IF(AND(_xlfn.XLOOKUP($C$14,_Requeridos!$A$10:$A$20,_Requeridos!$Q$10:$Q$20,"")="SI",U47=""),"Ubicación técnica",""),IF(AND(_xlfn.XLOOKUP($C$14,_Requeridos!$A$10:$A$20,_Requeridos!$R$10:$R$20,"")="SI",X47=""),"Centro",""),IF(AND(_xlfn.XLOOKUP($C$14,_Requeridos!$A$10:$A$20,_Requeridos!$S$10:$S$20,"")="SI",Y47=""),"Código País",""),IF(AND(_xlfn.XLOOKUP($C$14,_Requeridos!$A$10:$A$20,_Requeridos!$T$10:$T$20,"")="SI",Z47=""),"Emplazamiento",""),IF(AND(_xlfn.XLOOKUP($C$14,_Requeridos!$A$10:$A$20,_Requeridos!$U$10:$U$20,"")="SI",AB47=""),"Centro de Costo",""),IF(AND(_xlfn.XLOOKUP($C$14,_Requeridos!$A$10:$A$20,_Requeridos!$V$10:$V$20,"")="SI",AC47=""),"Número de personal",""),IF(AND(_xlfn.XLOOKUP($C$14,_Requeridos!$A$10:$A$20,_Requeridos!$W$10:$W$20,"")="SI",AH47=""),"Valor Unitario","")))&gt;0,"⚠️ Faltan: "&amp;_xlfn.TEXTJOIN(", ",TRUE,IF(AND(_xlfn.XLOOKUP($C$14,_Requeridos!$A$10:$A$20,_Requeridos!$B$10:$B$20,"")="SI",C47=""),"Orden de Inversión",""),IF(AND(_xlfn.XLOOKUP($C$14,_Requeridos!$A$10:$A$20,_Requeridos!$C$10:$C$20,"")="SI",D47=""),"Elemento PEP",""),IF(AND(_xlfn.XLOOKUP($C$14,_Requeridos!$A$10:$A$20,_Requeridos!$D$10:$D$20,"")="SI",E47=""),"Pedido",""),IF(AND(_xlfn.XLOOKUP($C$14,_Requeridos!$A$10:$A$20,_Requeridos!$E$10:$E$20,"")="SI",F47=""),"Descripción Activo SAP",""),IF(AND(_xlfn.XLOOKUP($C$14,_Requeridos!$A$10:$A$20,_Requeridos!$F$10:$F$20,"")="SI",G47=""),"Clase",""),IF(AND(_xlfn.XLOOKUP($C$14,_Requeridos!$A$10:$A$20,_Requeridos!$G$10:$G$20,"")="SI",H47=""),"Cantidad",""),IF(AND(_xlfn.XLOOKUP($C$14,_Requeridos!$A$10:$A$20,_Requeridos!$H$10:$H$20,"")="SI",I47=""),"Nombre principal AF",""),IF(AND(_xlfn.XLOOKUP($C$14,_Requeridos!$A$10:$A$20,_Requeridos!$I$10:$I$20,"")="SI",L47=""),"Fabricante",""),IF(AND(_xlfn.XLOOKUP($C$14,_Requeridos!$A$10:$A$20,_Requeridos!$J$10:$J$20,"")="SI",M47=""),"Nit Proveedor",""),IF(AND(_xlfn.XLOOKUP($C$14,_Requeridos!$A$10:$A$20,_Requeridos!$K$10:$K$20,"")="SI",N47=""),"Serie",""),IF(AND(_xlfn.XLOOKUP($C$14,_Requeridos!$A$10:$A$20,_Requeridos!$L$10:$L$20,"")="SI",P47=""),"Criterio Clas. 1",""),IF(AND(_xlfn.XLOOKUP($C$14,_Requeridos!$A$10:$A$20,_Requeridos!$M$10:$M$20,"")="SI",Q47=""),"Criterio Clas. 2",""),IF(AND(_xlfn.XLOOKUP($C$14,_Requeridos!$A$10:$A$20,_Requeridos!$N$10:$N$20,"")="SI",R47=""),"Criterio Clas. 3",""),IF(AND(_xlfn.XLOOKUP($C$14,_Requeridos!$A$10:$A$20,_Requeridos!$O$10:$O$20,"")="SI",S47=""),"Criterio Clas. 4",""),IF(AND(_xlfn.XLOOKUP($C$14,_Requeridos!$A$10:$A$20,_Requeridos!$P$10:$P$20,"")="SI",T47=""),"Criterio Clas. 5",""),IF(AND(_xlfn.XLOOKUP($C$14,_Requeridos!$A$10:$A$20,_Requeridos!$Q$10:$Q$20,"")="SI",U47=""),"Ubicación técnica",""),IF(AND(_xlfn.XLOOKUP($C$14,_Requeridos!$A$10:$A$20,_Requeridos!$R$10:$R$20,"")="SI",X47=""),"Centro",""),IF(AND(_xlfn.XLOOKUP($C$14,_Requeridos!$A$10:$A$20,_Requeridos!$S$10:$S$20,"")="SI",Y47=""),"Código País",""),IF(AND(_xlfn.XLOOKUP($C$14,_Requeridos!$A$10:$A$20,_Requeridos!$T$10:$T$20,"")="SI",Z47=""),"Emplazamiento",""),IF(AND(_xlfn.XLOOKUP($C$14,_Requeridos!$A$10:$A$20,_Requeridos!$U$10:$U$20,"")="SI",AB47=""),"Centro de Costo",""),IF(AND(_xlfn.XLOOKUP($C$14,_Requeridos!$A$10:$A$20,_Requeridos!$V$10:$V$20,"")="SI",AC47=""),"Número de personal",""),IF(AND(_xlfn.XLOOKUP($C$14,_Requeridos!$A$10:$A$20,_Requeridos!$W$10:$W$20,"")="SI",AH47=""),"Valor Unitario","")),"✅ Completo"))</f>
        <v/>
      </c>
      <c r="AK47" s="52"/>
    </row>
    <row r="48" spans="1:37" s="37" customFormat="1" x14ac:dyDescent="0.35">
      <c r="A48" s="31"/>
      <c r="B48" s="56">
        <v>27</v>
      </c>
      <c r="C48" s="57"/>
      <c r="D48" s="57"/>
      <c r="E48" s="57"/>
      <c r="F48" s="57"/>
      <c r="G48" s="58" t="str">
        <f>IFERROR(_xlfn.XLOOKUP(F48,Clase!$C$2:$C$292,Clase!$B$2:$B$292,""),"")</f>
        <v/>
      </c>
      <c r="H48" s="57"/>
      <c r="I48" s="59"/>
      <c r="J48" s="57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7"/>
      <c r="AC48" s="57"/>
      <c r="AD48" s="58" t="str">
        <f>IFERROR(_xlfn.XLOOKUP(AB48,Ceco!$B$2:$B$901,Ceco!$C$2:$C$901,""),"")</f>
        <v/>
      </c>
      <c r="AE48" s="57"/>
      <c r="AF48" s="57"/>
      <c r="AG48" s="60"/>
      <c r="AH48" s="57"/>
      <c r="AI48" s="61"/>
      <c r="AJ48" s="62" t="str">
        <f>IF(COUNTA(C48,D48,E48,F48,H48,I48,L48,M48,N48,P48,Q48,R48,S48,T48,U48,X48,Y48,Z48,AB48,AC48,AH48)=0,"",IF(LEN(_xlfn.TEXTJOIN(", ",TRUE,IF(AND(_xlfn.XLOOKUP($C$14,_Requeridos!$A$10:$A$20,_Requeridos!$B$10:$B$20,"")="SI",C48=""),"Orden de Inversión",""),IF(AND(_xlfn.XLOOKUP($C$14,_Requeridos!$A$10:$A$20,_Requeridos!$C$10:$C$20,"")="SI",D48=""),"Elemento PEP",""),IF(AND(_xlfn.XLOOKUP($C$14,_Requeridos!$A$10:$A$20,_Requeridos!$D$10:$D$20,"")="SI",E48=""),"Pedido",""),IF(AND(_xlfn.XLOOKUP($C$14,_Requeridos!$A$10:$A$20,_Requeridos!$E$10:$E$20,"")="SI",F48=""),"Descripción Activo SAP",""),IF(AND(_xlfn.XLOOKUP($C$14,_Requeridos!$A$10:$A$20,_Requeridos!$F$10:$F$20,"")="SI",G48=""),"Clase",""),IF(AND(_xlfn.XLOOKUP($C$14,_Requeridos!$A$10:$A$20,_Requeridos!$G$10:$G$20,"")="SI",H48=""),"Cantidad",""),IF(AND(_xlfn.XLOOKUP($C$14,_Requeridos!$A$10:$A$20,_Requeridos!$H$10:$H$20,"")="SI",I48=""),"Nombre principal AF",""),IF(AND(_xlfn.XLOOKUP($C$14,_Requeridos!$A$10:$A$20,_Requeridos!$I$10:$I$20,"")="SI",L48=""),"Fabricante",""),IF(AND(_xlfn.XLOOKUP($C$14,_Requeridos!$A$10:$A$20,_Requeridos!$J$10:$J$20,"")="SI",M48=""),"Nit Proveedor",""),IF(AND(_xlfn.XLOOKUP($C$14,_Requeridos!$A$10:$A$20,_Requeridos!$K$10:$K$20,"")="SI",N48=""),"Serie",""),IF(AND(_xlfn.XLOOKUP($C$14,_Requeridos!$A$10:$A$20,_Requeridos!$L$10:$L$20,"")="SI",P48=""),"Criterio Clas. 1",""),IF(AND(_xlfn.XLOOKUP($C$14,_Requeridos!$A$10:$A$20,_Requeridos!$M$10:$M$20,"")="SI",Q48=""),"Criterio Clas. 2",""),IF(AND(_xlfn.XLOOKUP($C$14,_Requeridos!$A$10:$A$20,_Requeridos!$N$10:$N$20,"")="SI",R48=""),"Criterio Clas. 3",""),IF(AND(_xlfn.XLOOKUP($C$14,_Requeridos!$A$10:$A$20,_Requeridos!$O$10:$O$20,"")="SI",S48=""),"Criterio Clas. 4",""),IF(AND(_xlfn.XLOOKUP($C$14,_Requeridos!$A$10:$A$20,_Requeridos!$P$10:$P$20,"")="SI",T48=""),"Criterio Clas. 5",""),IF(AND(_xlfn.XLOOKUP($C$14,_Requeridos!$A$10:$A$20,_Requeridos!$Q$10:$Q$20,"")="SI",U48=""),"Ubicación técnica",""),IF(AND(_xlfn.XLOOKUP($C$14,_Requeridos!$A$10:$A$20,_Requeridos!$R$10:$R$20,"")="SI",X48=""),"Centro",""),IF(AND(_xlfn.XLOOKUP($C$14,_Requeridos!$A$10:$A$20,_Requeridos!$S$10:$S$20,"")="SI",Y48=""),"Código País",""),IF(AND(_xlfn.XLOOKUP($C$14,_Requeridos!$A$10:$A$20,_Requeridos!$T$10:$T$20,"")="SI",Z48=""),"Emplazamiento",""),IF(AND(_xlfn.XLOOKUP($C$14,_Requeridos!$A$10:$A$20,_Requeridos!$U$10:$U$20,"")="SI",AB48=""),"Centro de Costo",""),IF(AND(_xlfn.XLOOKUP($C$14,_Requeridos!$A$10:$A$20,_Requeridos!$V$10:$V$20,"")="SI",AC48=""),"Número de personal",""),IF(AND(_xlfn.XLOOKUP($C$14,_Requeridos!$A$10:$A$20,_Requeridos!$W$10:$W$20,"")="SI",AH48=""),"Valor Unitario","")))&gt;0,"⚠️ Faltan: "&amp;_xlfn.TEXTJOIN(", ",TRUE,IF(AND(_xlfn.XLOOKUP($C$14,_Requeridos!$A$10:$A$20,_Requeridos!$B$10:$B$20,"")="SI",C48=""),"Orden de Inversión",""),IF(AND(_xlfn.XLOOKUP($C$14,_Requeridos!$A$10:$A$20,_Requeridos!$C$10:$C$20,"")="SI",D48=""),"Elemento PEP",""),IF(AND(_xlfn.XLOOKUP($C$14,_Requeridos!$A$10:$A$20,_Requeridos!$D$10:$D$20,"")="SI",E48=""),"Pedido",""),IF(AND(_xlfn.XLOOKUP($C$14,_Requeridos!$A$10:$A$20,_Requeridos!$E$10:$E$20,"")="SI",F48=""),"Descripción Activo SAP",""),IF(AND(_xlfn.XLOOKUP($C$14,_Requeridos!$A$10:$A$20,_Requeridos!$F$10:$F$20,"")="SI",G48=""),"Clase",""),IF(AND(_xlfn.XLOOKUP($C$14,_Requeridos!$A$10:$A$20,_Requeridos!$G$10:$G$20,"")="SI",H48=""),"Cantidad",""),IF(AND(_xlfn.XLOOKUP($C$14,_Requeridos!$A$10:$A$20,_Requeridos!$H$10:$H$20,"")="SI",I48=""),"Nombre principal AF",""),IF(AND(_xlfn.XLOOKUP($C$14,_Requeridos!$A$10:$A$20,_Requeridos!$I$10:$I$20,"")="SI",L48=""),"Fabricante",""),IF(AND(_xlfn.XLOOKUP($C$14,_Requeridos!$A$10:$A$20,_Requeridos!$J$10:$J$20,"")="SI",M48=""),"Nit Proveedor",""),IF(AND(_xlfn.XLOOKUP($C$14,_Requeridos!$A$10:$A$20,_Requeridos!$K$10:$K$20,"")="SI",N48=""),"Serie",""),IF(AND(_xlfn.XLOOKUP($C$14,_Requeridos!$A$10:$A$20,_Requeridos!$L$10:$L$20,"")="SI",P48=""),"Criterio Clas. 1",""),IF(AND(_xlfn.XLOOKUP($C$14,_Requeridos!$A$10:$A$20,_Requeridos!$M$10:$M$20,"")="SI",Q48=""),"Criterio Clas. 2",""),IF(AND(_xlfn.XLOOKUP($C$14,_Requeridos!$A$10:$A$20,_Requeridos!$N$10:$N$20,"")="SI",R48=""),"Criterio Clas. 3",""),IF(AND(_xlfn.XLOOKUP($C$14,_Requeridos!$A$10:$A$20,_Requeridos!$O$10:$O$20,"")="SI",S48=""),"Criterio Clas. 4",""),IF(AND(_xlfn.XLOOKUP($C$14,_Requeridos!$A$10:$A$20,_Requeridos!$P$10:$P$20,"")="SI",T48=""),"Criterio Clas. 5",""),IF(AND(_xlfn.XLOOKUP($C$14,_Requeridos!$A$10:$A$20,_Requeridos!$Q$10:$Q$20,"")="SI",U48=""),"Ubicación técnica",""),IF(AND(_xlfn.XLOOKUP($C$14,_Requeridos!$A$10:$A$20,_Requeridos!$R$10:$R$20,"")="SI",X48=""),"Centro",""),IF(AND(_xlfn.XLOOKUP($C$14,_Requeridos!$A$10:$A$20,_Requeridos!$S$10:$S$20,"")="SI",Y48=""),"Código País",""),IF(AND(_xlfn.XLOOKUP($C$14,_Requeridos!$A$10:$A$20,_Requeridos!$T$10:$T$20,"")="SI",Z48=""),"Emplazamiento",""),IF(AND(_xlfn.XLOOKUP($C$14,_Requeridos!$A$10:$A$20,_Requeridos!$U$10:$U$20,"")="SI",AB48=""),"Centro de Costo",""),IF(AND(_xlfn.XLOOKUP($C$14,_Requeridos!$A$10:$A$20,_Requeridos!$V$10:$V$20,"")="SI",AC48=""),"Número de personal",""),IF(AND(_xlfn.XLOOKUP($C$14,_Requeridos!$A$10:$A$20,_Requeridos!$W$10:$W$20,"")="SI",AH48=""),"Valor Unitario","")),"✅ Completo"))</f>
        <v/>
      </c>
      <c r="AK48" s="52"/>
    </row>
    <row r="49" spans="1:37" s="37" customFormat="1" x14ac:dyDescent="0.35">
      <c r="A49" s="31"/>
      <c r="B49" s="56">
        <v>28</v>
      </c>
      <c r="C49" s="57"/>
      <c r="D49" s="57"/>
      <c r="E49" s="57"/>
      <c r="F49" s="57"/>
      <c r="G49" s="58" t="str">
        <f>IFERROR(_xlfn.XLOOKUP(F49,Clase!$C$2:$C$292,Clase!$B$2:$B$292,""),"")</f>
        <v/>
      </c>
      <c r="H49" s="57"/>
      <c r="I49" s="59"/>
      <c r="J49" s="57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7"/>
      <c r="AC49" s="57"/>
      <c r="AD49" s="58" t="str">
        <f>IFERROR(_xlfn.XLOOKUP(AB49,Ceco!$B$2:$B$901,Ceco!$C$2:$C$901,""),"")</f>
        <v/>
      </c>
      <c r="AE49" s="57"/>
      <c r="AF49" s="57"/>
      <c r="AG49" s="60"/>
      <c r="AH49" s="57"/>
      <c r="AI49" s="61"/>
      <c r="AJ49" s="62" t="str">
        <f>IF(COUNTA(C49,D49,E49,F49,H49,I49,L49,M49,N49,P49,Q49,R49,S49,T49,U49,X49,Y49,Z49,AB49,AC49,AH49)=0,"",IF(LEN(_xlfn.TEXTJOIN(", ",TRUE,IF(AND(_xlfn.XLOOKUP($C$14,_Requeridos!$A$10:$A$20,_Requeridos!$B$10:$B$20,"")="SI",C49=""),"Orden de Inversión",""),IF(AND(_xlfn.XLOOKUP($C$14,_Requeridos!$A$10:$A$20,_Requeridos!$C$10:$C$20,"")="SI",D49=""),"Elemento PEP",""),IF(AND(_xlfn.XLOOKUP($C$14,_Requeridos!$A$10:$A$20,_Requeridos!$D$10:$D$20,"")="SI",E49=""),"Pedido",""),IF(AND(_xlfn.XLOOKUP($C$14,_Requeridos!$A$10:$A$20,_Requeridos!$E$10:$E$20,"")="SI",F49=""),"Descripción Activo SAP",""),IF(AND(_xlfn.XLOOKUP($C$14,_Requeridos!$A$10:$A$20,_Requeridos!$F$10:$F$20,"")="SI",G49=""),"Clase",""),IF(AND(_xlfn.XLOOKUP($C$14,_Requeridos!$A$10:$A$20,_Requeridos!$G$10:$G$20,"")="SI",H49=""),"Cantidad",""),IF(AND(_xlfn.XLOOKUP($C$14,_Requeridos!$A$10:$A$20,_Requeridos!$H$10:$H$20,"")="SI",I49=""),"Nombre principal AF",""),IF(AND(_xlfn.XLOOKUP($C$14,_Requeridos!$A$10:$A$20,_Requeridos!$I$10:$I$20,"")="SI",L49=""),"Fabricante",""),IF(AND(_xlfn.XLOOKUP($C$14,_Requeridos!$A$10:$A$20,_Requeridos!$J$10:$J$20,"")="SI",M49=""),"Nit Proveedor",""),IF(AND(_xlfn.XLOOKUP($C$14,_Requeridos!$A$10:$A$20,_Requeridos!$K$10:$K$20,"")="SI",N49=""),"Serie",""),IF(AND(_xlfn.XLOOKUP($C$14,_Requeridos!$A$10:$A$20,_Requeridos!$L$10:$L$20,"")="SI",P49=""),"Criterio Clas. 1",""),IF(AND(_xlfn.XLOOKUP($C$14,_Requeridos!$A$10:$A$20,_Requeridos!$M$10:$M$20,"")="SI",Q49=""),"Criterio Clas. 2",""),IF(AND(_xlfn.XLOOKUP($C$14,_Requeridos!$A$10:$A$20,_Requeridos!$N$10:$N$20,"")="SI",R49=""),"Criterio Clas. 3",""),IF(AND(_xlfn.XLOOKUP($C$14,_Requeridos!$A$10:$A$20,_Requeridos!$O$10:$O$20,"")="SI",S49=""),"Criterio Clas. 4",""),IF(AND(_xlfn.XLOOKUP($C$14,_Requeridos!$A$10:$A$20,_Requeridos!$P$10:$P$20,"")="SI",T49=""),"Criterio Clas. 5",""),IF(AND(_xlfn.XLOOKUP($C$14,_Requeridos!$A$10:$A$20,_Requeridos!$Q$10:$Q$20,"")="SI",U49=""),"Ubicación técnica",""),IF(AND(_xlfn.XLOOKUP($C$14,_Requeridos!$A$10:$A$20,_Requeridos!$R$10:$R$20,"")="SI",X49=""),"Centro",""),IF(AND(_xlfn.XLOOKUP($C$14,_Requeridos!$A$10:$A$20,_Requeridos!$S$10:$S$20,"")="SI",Y49=""),"Código País",""),IF(AND(_xlfn.XLOOKUP($C$14,_Requeridos!$A$10:$A$20,_Requeridos!$T$10:$T$20,"")="SI",Z49=""),"Emplazamiento",""),IF(AND(_xlfn.XLOOKUP($C$14,_Requeridos!$A$10:$A$20,_Requeridos!$U$10:$U$20,"")="SI",AB49=""),"Centro de Costo",""),IF(AND(_xlfn.XLOOKUP($C$14,_Requeridos!$A$10:$A$20,_Requeridos!$V$10:$V$20,"")="SI",AC49=""),"Número de personal",""),IF(AND(_xlfn.XLOOKUP($C$14,_Requeridos!$A$10:$A$20,_Requeridos!$W$10:$W$20,"")="SI",AH49=""),"Valor Unitario","")))&gt;0,"⚠️ Faltan: "&amp;_xlfn.TEXTJOIN(", ",TRUE,IF(AND(_xlfn.XLOOKUP($C$14,_Requeridos!$A$10:$A$20,_Requeridos!$B$10:$B$20,"")="SI",C49=""),"Orden de Inversión",""),IF(AND(_xlfn.XLOOKUP($C$14,_Requeridos!$A$10:$A$20,_Requeridos!$C$10:$C$20,"")="SI",D49=""),"Elemento PEP",""),IF(AND(_xlfn.XLOOKUP($C$14,_Requeridos!$A$10:$A$20,_Requeridos!$D$10:$D$20,"")="SI",E49=""),"Pedido",""),IF(AND(_xlfn.XLOOKUP($C$14,_Requeridos!$A$10:$A$20,_Requeridos!$E$10:$E$20,"")="SI",F49=""),"Descripción Activo SAP",""),IF(AND(_xlfn.XLOOKUP($C$14,_Requeridos!$A$10:$A$20,_Requeridos!$F$10:$F$20,"")="SI",G49=""),"Clase",""),IF(AND(_xlfn.XLOOKUP($C$14,_Requeridos!$A$10:$A$20,_Requeridos!$G$10:$G$20,"")="SI",H49=""),"Cantidad",""),IF(AND(_xlfn.XLOOKUP($C$14,_Requeridos!$A$10:$A$20,_Requeridos!$H$10:$H$20,"")="SI",I49=""),"Nombre principal AF",""),IF(AND(_xlfn.XLOOKUP($C$14,_Requeridos!$A$10:$A$20,_Requeridos!$I$10:$I$20,"")="SI",L49=""),"Fabricante",""),IF(AND(_xlfn.XLOOKUP($C$14,_Requeridos!$A$10:$A$20,_Requeridos!$J$10:$J$20,"")="SI",M49=""),"Nit Proveedor",""),IF(AND(_xlfn.XLOOKUP($C$14,_Requeridos!$A$10:$A$20,_Requeridos!$K$10:$K$20,"")="SI",N49=""),"Serie",""),IF(AND(_xlfn.XLOOKUP($C$14,_Requeridos!$A$10:$A$20,_Requeridos!$L$10:$L$20,"")="SI",P49=""),"Criterio Clas. 1",""),IF(AND(_xlfn.XLOOKUP($C$14,_Requeridos!$A$10:$A$20,_Requeridos!$M$10:$M$20,"")="SI",Q49=""),"Criterio Clas. 2",""),IF(AND(_xlfn.XLOOKUP($C$14,_Requeridos!$A$10:$A$20,_Requeridos!$N$10:$N$20,"")="SI",R49=""),"Criterio Clas. 3",""),IF(AND(_xlfn.XLOOKUP($C$14,_Requeridos!$A$10:$A$20,_Requeridos!$O$10:$O$20,"")="SI",S49=""),"Criterio Clas. 4",""),IF(AND(_xlfn.XLOOKUP($C$14,_Requeridos!$A$10:$A$20,_Requeridos!$P$10:$P$20,"")="SI",T49=""),"Criterio Clas. 5",""),IF(AND(_xlfn.XLOOKUP($C$14,_Requeridos!$A$10:$A$20,_Requeridos!$Q$10:$Q$20,"")="SI",U49=""),"Ubicación técnica",""),IF(AND(_xlfn.XLOOKUP($C$14,_Requeridos!$A$10:$A$20,_Requeridos!$R$10:$R$20,"")="SI",X49=""),"Centro",""),IF(AND(_xlfn.XLOOKUP($C$14,_Requeridos!$A$10:$A$20,_Requeridos!$S$10:$S$20,"")="SI",Y49=""),"Código País",""),IF(AND(_xlfn.XLOOKUP($C$14,_Requeridos!$A$10:$A$20,_Requeridos!$T$10:$T$20,"")="SI",Z49=""),"Emplazamiento",""),IF(AND(_xlfn.XLOOKUP($C$14,_Requeridos!$A$10:$A$20,_Requeridos!$U$10:$U$20,"")="SI",AB49=""),"Centro de Costo",""),IF(AND(_xlfn.XLOOKUP($C$14,_Requeridos!$A$10:$A$20,_Requeridos!$V$10:$V$20,"")="SI",AC49=""),"Número de personal",""),IF(AND(_xlfn.XLOOKUP($C$14,_Requeridos!$A$10:$A$20,_Requeridos!$W$10:$W$20,"")="SI",AH49=""),"Valor Unitario","")),"✅ Completo"))</f>
        <v/>
      </c>
      <c r="AK49" s="52"/>
    </row>
    <row r="50" spans="1:37" s="37" customFormat="1" x14ac:dyDescent="0.35">
      <c r="A50" s="31"/>
      <c r="B50" s="56">
        <v>29</v>
      </c>
      <c r="C50" s="57"/>
      <c r="D50" s="57"/>
      <c r="E50" s="57"/>
      <c r="F50" s="57"/>
      <c r="G50" s="58" t="str">
        <f>IFERROR(_xlfn.XLOOKUP(F50,Clase!$C$2:$C$292,Clase!$B$2:$B$292,""),"")</f>
        <v/>
      </c>
      <c r="H50" s="57"/>
      <c r="I50" s="59"/>
      <c r="J50" s="57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7"/>
      <c r="AC50" s="57"/>
      <c r="AD50" s="58" t="str">
        <f>IFERROR(_xlfn.XLOOKUP(AB50,Ceco!$B$2:$B$901,Ceco!$C$2:$C$901,""),"")</f>
        <v/>
      </c>
      <c r="AE50" s="57"/>
      <c r="AF50" s="57"/>
      <c r="AG50" s="60"/>
      <c r="AH50" s="57"/>
      <c r="AI50" s="61"/>
      <c r="AJ50" s="62" t="str">
        <f>IF(COUNTA(C50,D50,E50,F50,H50,I50,L50,M50,N50,P50,Q50,R50,S50,T50,U50,X50,Y50,Z50,AB50,AC50,AH50)=0,"",IF(LEN(_xlfn.TEXTJOIN(", ",TRUE,IF(AND(_xlfn.XLOOKUP($C$14,_Requeridos!$A$10:$A$20,_Requeridos!$B$10:$B$20,"")="SI",C50=""),"Orden de Inversión",""),IF(AND(_xlfn.XLOOKUP($C$14,_Requeridos!$A$10:$A$20,_Requeridos!$C$10:$C$20,"")="SI",D50=""),"Elemento PEP",""),IF(AND(_xlfn.XLOOKUP($C$14,_Requeridos!$A$10:$A$20,_Requeridos!$D$10:$D$20,"")="SI",E50=""),"Pedido",""),IF(AND(_xlfn.XLOOKUP($C$14,_Requeridos!$A$10:$A$20,_Requeridos!$E$10:$E$20,"")="SI",F50=""),"Descripción Activo SAP",""),IF(AND(_xlfn.XLOOKUP($C$14,_Requeridos!$A$10:$A$20,_Requeridos!$F$10:$F$20,"")="SI",G50=""),"Clase",""),IF(AND(_xlfn.XLOOKUP($C$14,_Requeridos!$A$10:$A$20,_Requeridos!$G$10:$G$20,"")="SI",H50=""),"Cantidad",""),IF(AND(_xlfn.XLOOKUP($C$14,_Requeridos!$A$10:$A$20,_Requeridos!$H$10:$H$20,"")="SI",I50=""),"Nombre principal AF",""),IF(AND(_xlfn.XLOOKUP($C$14,_Requeridos!$A$10:$A$20,_Requeridos!$I$10:$I$20,"")="SI",L50=""),"Fabricante",""),IF(AND(_xlfn.XLOOKUP($C$14,_Requeridos!$A$10:$A$20,_Requeridos!$J$10:$J$20,"")="SI",M50=""),"Nit Proveedor",""),IF(AND(_xlfn.XLOOKUP($C$14,_Requeridos!$A$10:$A$20,_Requeridos!$K$10:$K$20,"")="SI",N50=""),"Serie",""),IF(AND(_xlfn.XLOOKUP($C$14,_Requeridos!$A$10:$A$20,_Requeridos!$L$10:$L$20,"")="SI",P50=""),"Criterio Clas. 1",""),IF(AND(_xlfn.XLOOKUP($C$14,_Requeridos!$A$10:$A$20,_Requeridos!$M$10:$M$20,"")="SI",Q50=""),"Criterio Clas. 2",""),IF(AND(_xlfn.XLOOKUP($C$14,_Requeridos!$A$10:$A$20,_Requeridos!$N$10:$N$20,"")="SI",R50=""),"Criterio Clas. 3",""),IF(AND(_xlfn.XLOOKUP($C$14,_Requeridos!$A$10:$A$20,_Requeridos!$O$10:$O$20,"")="SI",S50=""),"Criterio Clas. 4",""),IF(AND(_xlfn.XLOOKUP($C$14,_Requeridos!$A$10:$A$20,_Requeridos!$P$10:$P$20,"")="SI",T50=""),"Criterio Clas. 5",""),IF(AND(_xlfn.XLOOKUP($C$14,_Requeridos!$A$10:$A$20,_Requeridos!$Q$10:$Q$20,"")="SI",U50=""),"Ubicación técnica",""),IF(AND(_xlfn.XLOOKUP($C$14,_Requeridos!$A$10:$A$20,_Requeridos!$R$10:$R$20,"")="SI",X50=""),"Centro",""),IF(AND(_xlfn.XLOOKUP($C$14,_Requeridos!$A$10:$A$20,_Requeridos!$S$10:$S$20,"")="SI",Y50=""),"Código País",""),IF(AND(_xlfn.XLOOKUP($C$14,_Requeridos!$A$10:$A$20,_Requeridos!$T$10:$T$20,"")="SI",Z50=""),"Emplazamiento",""),IF(AND(_xlfn.XLOOKUP($C$14,_Requeridos!$A$10:$A$20,_Requeridos!$U$10:$U$20,"")="SI",AB50=""),"Centro de Costo",""),IF(AND(_xlfn.XLOOKUP($C$14,_Requeridos!$A$10:$A$20,_Requeridos!$V$10:$V$20,"")="SI",AC50=""),"Número de personal",""),IF(AND(_xlfn.XLOOKUP($C$14,_Requeridos!$A$10:$A$20,_Requeridos!$W$10:$W$20,"")="SI",AH50=""),"Valor Unitario","")))&gt;0,"⚠️ Faltan: "&amp;_xlfn.TEXTJOIN(", ",TRUE,IF(AND(_xlfn.XLOOKUP($C$14,_Requeridos!$A$10:$A$20,_Requeridos!$B$10:$B$20,"")="SI",C50=""),"Orden de Inversión",""),IF(AND(_xlfn.XLOOKUP($C$14,_Requeridos!$A$10:$A$20,_Requeridos!$C$10:$C$20,"")="SI",D50=""),"Elemento PEP",""),IF(AND(_xlfn.XLOOKUP($C$14,_Requeridos!$A$10:$A$20,_Requeridos!$D$10:$D$20,"")="SI",E50=""),"Pedido",""),IF(AND(_xlfn.XLOOKUP($C$14,_Requeridos!$A$10:$A$20,_Requeridos!$E$10:$E$20,"")="SI",F50=""),"Descripción Activo SAP",""),IF(AND(_xlfn.XLOOKUP($C$14,_Requeridos!$A$10:$A$20,_Requeridos!$F$10:$F$20,"")="SI",G50=""),"Clase",""),IF(AND(_xlfn.XLOOKUP($C$14,_Requeridos!$A$10:$A$20,_Requeridos!$G$10:$G$20,"")="SI",H50=""),"Cantidad",""),IF(AND(_xlfn.XLOOKUP($C$14,_Requeridos!$A$10:$A$20,_Requeridos!$H$10:$H$20,"")="SI",I50=""),"Nombre principal AF",""),IF(AND(_xlfn.XLOOKUP($C$14,_Requeridos!$A$10:$A$20,_Requeridos!$I$10:$I$20,"")="SI",L50=""),"Fabricante",""),IF(AND(_xlfn.XLOOKUP($C$14,_Requeridos!$A$10:$A$20,_Requeridos!$J$10:$J$20,"")="SI",M50=""),"Nit Proveedor",""),IF(AND(_xlfn.XLOOKUP($C$14,_Requeridos!$A$10:$A$20,_Requeridos!$K$10:$K$20,"")="SI",N50=""),"Serie",""),IF(AND(_xlfn.XLOOKUP($C$14,_Requeridos!$A$10:$A$20,_Requeridos!$L$10:$L$20,"")="SI",P50=""),"Criterio Clas. 1",""),IF(AND(_xlfn.XLOOKUP($C$14,_Requeridos!$A$10:$A$20,_Requeridos!$M$10:$M$20,"")="SI",Q50=""),"Criterio Clas. 2",""),IF(AND(_xlfn.XLOOKUP($C$14,_Requeridos!$A$10:$A$20,_Requeridos!$N$10:$N$20,"")="SI",R50=""),"Criterio Clas. 3",""),IF(AND(_xlfn.XLOOKUP($C$14,_Requeridos!$A$10:$A$20,_Requeridos!$O$10:$O$20,"")="SI",S50=""),"Criterio Clas. 4",""),IF(AND(_xlfn.XLOOKUP($C$14,_Requeridos!$A$10:$A$20,_Requeridos!$P$10:$P$20,"")="SI",T50=""),"Criterio Clas. 5",""),IF(AND(_xlfn.XLOOKUP($C$14,_Requeridos!$A$10:$A$20,_Requeridos!$Q$10:$Q$20,"")="SI",U50=""),"Ubicación técnica",""),IF(AND(_xlfn.XLOOKUP($C$14,_Requeridos!$A$10:$A$20,_Requeridos!$R$10:$R$20,"")="SI",X50=""),"Centro",""),IF(AND(_xlfn.XLOOKUP($C$14,_Requeridos!$A$10:$A$20,_Requeridos!$S$10:$S$20,"")="SI",Y50=""),"Código País",""),IF(AND(_xlfn.XLOOKUP($C$14,_Requeridos!$A$10:$A$20,_Requeridos!$T$10:$T$20,"")="SI",Z50=""),"Emplazamiento",""),IF(AND(_xlfn.XLOOKUP($C$14,_Requeridos!$A$10:$A$20,_Requeridos!$U$10:$U$20,"")="SI",AB50=""),"Centro de Costo",""),IF(AND(_xlfn.XLOOKUP($C$14,_Requeridos!$A$10:$A$20,_Requeridos!$V$10:$V$20,"")="SI",AC50=""),"Número de personal",""),IF(AND(_xlfn.XLOOKUP($C$14,_Requeridos!$A$10:$A$20,_Requeridos!$W$10:$W$20,"")="SI",AH50=""),"Valor Unitario","")),"✅ Completo"))</f>
        <v/>
      </c>
      <c r="AK50" s="52"/>
    </row>
    <row r="51" spans="1:37" s="37" customFormat="1" x14ac:dyDescent="0.35">
      <c r="A51" s="31"/>
      <c r="B51" s="56">
        <v>30</v>
      </c>
      <c r="C51" s="57"/>
      <c r="D51" s="57"/>
      <c r="E51" s="57"/>
      <c r="F51" s="57"/>
      <c r="G51" s="58" t="str">
        <f>IFERROR(_xlfn.XLOOKUP(F51,Clase!$C$2:$C$292,Clase!$B$2:$B$292,""),"")</f>
        <v/>
      </c>
      <c r="H51" s="57"/>
      <c r="I51" s="59"/>
      <c r="J51" s="57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7"/>
      <c r="AC51" s="57"/>
      <c r="AD51" s="58" t="str">
        <f>IFERROR(_xlfn.XLOOKUP(AB51,Ceco!$B$2:$B$901,Ceco!$C$2:$C$901,""),"")</f>
        <v/>
      </c>
      <c r="AE51" s="57"/>
      <c r="AF51" s="57"/>
      <c r="AG51" s="60"/>
      <c r="AH51" s="57"/>
      <c r="AI51" s="61"/>
      <c r="AJ51" s="62" t="str">
        <f>IF(COUNTA(C51,D51,E51,F51,H51,I51,L51,M51,N51,P51,Q51,R51,S51,T51,U51,X51,Y51,Z51,AB51,AC51,AH51)=0,"",IF(LEN(_xlfn.TEXTJOIN(", ",TRUE,IF(AND(_xlfn.XLOOKUP($C$14,_Requeridos!$A$10:$A$20,_Requeridos!$B$10:$B$20,"")="SI",C51=""),"Orden de Inversión",""),IF(AND(_xlfn.XLOOKUP($C$14,_Requeridos!$A$10:$A$20,_Requeridos!$C$10:$C$20,"")="SI",D51=""),"Elemento PEP",""),IF(AND(_xlfn.XLOOKUP($C$14,_Requeridos!$A$10:$A$20,_Requeridos!$D$10:$D$20,"")="SI",E51=""),"Pedido",""),IF(AND(_xlfn.XLOOKUP($C$14,_Requeridos!$A$10:$A$20,_Requeridos!$E$10:$E$20,"")="SI",F51=""),"Descripción Activo SAP",""),IF(AND(_xlfn.XLOOKUP($C$14,_Requeridos!$A$10:$A$20,_Requeridos!$F$10:$F$20,"")="SI",G51=""),"Clase",""),IF(AND(_xlfn.XLOOKUP($C$14,_Requeridos!$A$10:$A$20,_Requeridos!$G$10:$G$20,"")="SI",H51=""),"Cantidad",""),IF(AND(_xlfn.XLOOKUP($C$14,_Requeridos!$A$10:$A$20,_Requeridos!$H$10:$H$20,"")="SI",I51=""),"Nombre principal AF",""),IF(AND(_xlfn.XLOOKUP($C$14,_Requeridos!$A$10:$A$20,_Requeridos!$I$10:$I$20,"")="SI",L51=""),"Fabricante",""),IF(AND(_xlfn.XLOOKUP($C$14,_Requeridos!$A$10:$A$20,_Requeridos!$J$10:$J$20,"")="SI",M51=""),"Nit Proveedor",""),IF(AND(_xlfn.XLOOKUP($C$14,_Requeridos!$A$10:$A$20,_Requeridos!$K$10:$K$20,"")="SI",N51=""),"Serie",""),IF(AND(_xlfn.XLOOKUP($C$14,_Requeridos!$A$10:$A$20,_Requeridos!$L$10:$L$20,"")="SI",P51=""),"Criterio Clas. 1",""),IF(AND(_xlfn.XLOOKUP($C$14,_Requeridos!$A$10:$A$20,_Requeridos!$M$10:$M$20,"")="SI",Q51=""),"Criterio Clas. 2",""),IF(AND(_xlfn.XLOOKUP($C$14,_Requeridos!$A$10:$A$20,_Requeridos!$N$10:$N$20,"")="SI",R51=""),"Criterio Clas. 3",""),IF(AND(_xlfn.XLOOKUP($C$14,_Requeridos!$A$10:$A$20,_Requeridos!$O$10:$O$20,"")="SI",S51=""),"Criterio Clas. 4",""),IF(AND(_xlfn.XLOOKUP($C$14,_Requeridos!$A$10:$A$20,_Requeridos!$P$10:$P$20,"")="SI",T51=""),"Criterio Clas. 5",""),IF(AND(_xlfn.XLOOKUP($C$14,_Requeridos!$A$10:$A$20,_Requeridos!$Q$10:$Q$20,"")="SI",U51=""),"Ubicación técnica",""),IF(AND(_xlfn.XLOOKUP($C$14,_Requeridos!$A$10:$A$20,_Requeridos!$R$10:$R$20,"")="SI",X51=""),"Centro",""),IF(AND(_xlfn.XLOOKUP($C$14,_Requeridos!$A$10:$A$20,_Requeridos!$S$10:$S$20,"")="SI",Y51=""),"Código País",""),IF(AND(_xlfn.XLOOKUP($C$14,_Requeridos!$A$10:$A$20,_Requeridos!$T$10:$T$20,"")="SI",Z51=""),"Emplazamiento",""),IF(AND(_xlfn.XLOOKUP($C$14,_Requeridos!$A$10:$A$20,_Requeridos!$U$10:$U$20,"")="SI",AB51=""),"Centro de Costo",""),IF(AND(_xlfn.XLOOKUP($C$14,_Requeridos!$A$10:$A$20,_Requeridos!$V$10:$V$20,"")="SI",AC51=""),"Número de personal",""),IF(AND(_xlfn.XLOOKUP($C$14,_Requeridos!$A$10:$A$20,_Requeridos!$W$10:$W$20,"")="SI",AH51=""),"Valor Unitario","")))&gt;0,"⚠️ Faltan: "&amp;_xlfn.TEXTJOIN(", ",TRUE,IF(AND(_xlfn.XLOOKUP($C$14,_Requeridos!$A$10:$A$20,_Requeridos!$B$10:$B$20,"")="SI",C51=""),"Orden de Inversión",""),IF(AND(_xlfn.XLOOKUP($C$14,_Requeridos!$A$10:$A$20,_Requeridos!$C$10:$C$20,"")="SI",D51=""),"Elemento PEP",""),IF(AND(_xlfn.XLOOKUP($C$14,_Requeridos!$A$10:$A$20,_Requeridos!$D$10:$D$20,"")="SI",E51=""),"Pedido",""),IF(AND(_xlfn.XLOOKUP($C$14,_Requeridos!$A$10:$A$20,_Requeridos!$E$10:$E$20,"")="SI",F51=""),"Descripción Activo SAP",""),IF(AND(_xlfn.XLOOKUP($C$14,_Requeridos!$A$10:$A$20,_Requeridos!$F$10:$F$20,"")="SI",G51=""),"Clase",""),IF(AND(_xlfn.XLOOKUP($C$14,_Requeridos!$A$10:$A$20,_Requeridos!$G$10:$G$20,"")="SI",H51=""),"Cantidad",""),IF(AND(_xlfn.XLOOKUP($C$14,_Requeridos!$A$10:$A$20,_Requeridos!$H$10:$H$20,"")="SI",I51=""),"Nombre principal AF",""),IF(AND(_xlfn.XLOOKUP($C$14,_Requeridos!$A$10:$A$20,_Requeridos!$I$10:$I$20,"")="SI",L51=""),"Fabricante",""),IF(AND(_xlfn.XLOOKUP($C$14,_Requeridos!$A$10:$A$20,_Requeridos!$J$10:$J$20,"")="SI",M51=""),"Nit Proveedor",""),IF(AND(_xlfn.XLOOKUP($C$14,_Requeridos!$A$10:$A$20,_Requeridos!$K$10:$K$20,"")="SI",N51=""),"Serie",""),IF(AND(_xlfn.XLOOKUP($C$14,_Requeridos!$A$10:$A$20,_Requeridos!$L$10:$L$20,"")="SI",P51=""),"Criterio Clas. 1",""),IF(AND(_xlfn.XLOOKUP($C$14,_Requeridos!$A$10:$A$20,_Requeridos!$M$10:$M$20,"")="SI",Q51=""),"Criterio Clas. 2",""),IF(AND(_xlfn.XLOOKUP($C$14,_Requeridos!$A$10:$A$20,_Requeridos!$N$10:$N$20,"")="SI",R51=""),"Criterio Clas. 3",""),IF(AND(_xlfn.XLOOKUP($C$14,_Requeridos!$A$10:$A$20,_Requeridos!$O$10:$O$20,"")="SI",S51=""),"Criterio Clas. 4",""),IF(AND(_xlfn.XLOOKUP($C$14,_Requeridos!$A$10:$A$20,_Requeridos!$P$10:$P$20,"")="SI",T51=""),"Criterio Clas. 5",""),IF(AND(_xlfn.XLOOKUP($C$14,_Requeridos!$A$10:$A$20,_Requeridos!$Q$10:$Q$20,"")="SI",U51=""),"Ubicación técnica",""),IF(AND(_xlfn.XLOOKUP($C$14,_Requeridos!$A$10:$A$20,_Requeridos!$R$10:$R$20,"")="SI",X51=""),"Centro",""),IF(AND(_xlfn.XLOOKUP($C$14,_Requeridos!$A$10:$A$20,_Requeridos!$S$10:$S$20,"")="SI",Y51=""),"Código País",""),IF(AND(_xlfn.XLOOKUP($C$14,_Requeridos!$A$10:$A$20,_Requeridos!$T$10:$T$20,"")="SI",Z51=""),"Emplazamiento",""),IF(AND(_xlfn.XLOOKUP($C$14,_Requeridos!$A$10:$A$20,_Requeridos!$U$10:$U$20,"")="SI",AB51=""),"Centro de Costo",""),IF(AND(_xlfn.XLOOKUP($C$14,_Requeridos!$A$10:$A$20,_Requeridos!$V$10:$V$20,"")="SI",AC51=""),"Número de personal",""),IF(AND(_xlfn.XLOOKUP($C$14,_Requeridos!$A$10:$A$20,_Requeridos!$W$10:$W$20,"")="SI",AH51=""),"Valor Unitario","")),"✅ Completo"))</f>
        <v/>
      </c>
      <c r="AK51" s="52"/>
    </row>
    <row r="52" spans="1:37" s="37" customFormat="1" x14ac:dyDescent="0.35">
      <c r="A52" s="31"/>
      <c r="B52" s="56">
        <v>31</v>
      </c>
      <c r="C52" s="57"/>
      <c r="D52" s="57"/>
      <c r="E52" s="57"/>
      <c r="F52" s="57"/>
      <c r="G52" s="58" t="str">
        <f>IFERROR(_xlfn.XLOOKUP(F52,Clase!$C$2:$C$292,Clase!$B$2:$B$292,""),"")</f>
        <v/>
      </c>
      <c r="H52" s="57"/>
      <c r="I52" s="59"/>
      <c r="J52" s="57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7"/>
      <c r="AC52" s="57"/>
      <c r="AD52" s="58" t="str">
        <f>IFERROR(_xlfn.XLOOKUP(AB52,Ceco!$B$2:$B$901,Ceco!$C$2:$C$901,""),"")</f>
        <v/>
      </c>
      <c r="AE52" s="57"/>
      <c r="AF52" s="57"/>
      <c r="AG52" s="60"/>
      <c r="AH52" s="57"/>
      <c r="AI52" s="61"/>
      <c r="AJ52" s="62" t="str">
        <f>IF(COUNTA(C52,D52,E52,F52,H52,I52,L52,M52,N52,P52,Q52,R52,S52,T52,U52,X52,Y52,Z52,AB52,AC52,AH52)=0,"",IF(LEN(_xlfn.TEXTJOIN(", ",TRUE,IF(AND(_xlfn.XLOOKUP($C$14,_Requeridos!$A$10:$A$20,_Requeridos!$B$10:$B$20,"")="SI",C52=""),"Orden de Inversión",""),IF(AND(_xlfn.XLOOKUP($C$14,_Requeridos!$A$10:$A$20,_Requeridos!$C$10:$C$20,"")="SI",D52=""),"Elemento PEP",""),IF(AND(_xlfn.XLOOKUP($C$14,_Requeridos!$A$10:$A$20,_Requeridos!$D$10:$D$20,"")="SI",E52=""),"Pedido",""),IF(AND(_xlfn.XLOOKUP($C$14,_Requeridos!$A$10:$A$20,_Requeridos!$E$10:$E$20,"")="SI",F52=""),"Descripción Activo SAP",""),IF(AND(_xlfn.XLOOKUP($C$14,_Requeridos!$A$10:$A$20,_Requeridos!$F$10:$F$20,"")="SI",G52=""),"Clase",""),IF(AND(_xlfn.XLOOKUP($C$14,_Requeridos!$A$10:$A$20,_Requeridos!$G$10:$G$20,"")="SI",H52=""),"Cantidad",""),IF(AND(_xlfn.XLOOKUP($C$14,_Requeridos!$A$10:$A$20,_Requeridos!$H$10:$H$20,"")="SI",I52=""),"Nombre principal AF",""),IF(AND(_xlfn.XLOOKUP($C$14,_Requeridos!$A$10:$A$20,_Requeridos!$I$10:$I$20,"")="SI",L52=""),"Fabricante",""),IF(AND(_xlfn.XLOOKUP($C$14,_Requeridos!$A$10:$A$20,_Requeridos!$J$10:$J$20,"")="SI",M52=""),"Nit Proveedor",""),IF(AND(_xlfn.XLOOKUP($C$14,_Requeridos!$A$10:$A$20,_Requeridos!$K$10:$K$20,"")="SI",N52=""),"Serie",""),IF(AND(_xlfn.XLOOKUP($C$14,_Requeridos!$A$10:$A$20,_Requeridos!$L$10:$L$20,"")="SI",P52=""),"Criterio Clas. 1",""),IF(AND(_xlfn.XLOOKUP($C$14,_Requeridos!$A$10:$A$20,_Requeridos!$M$10:$M$20,"")="SI",Q52=""),"Criterio Clas. 2",""),IF(AND(_xlfn.XLOOKUP($C$14,_Requeridos!$A$10:$A$20,_Requeridos!$N$10:$N$20,"")="SI",R52=""),"Criterio Clas. 3",""),IF(AND(_xlfn.XLOOKUP($C$14,_Requeridos!$A$10:$A$20,_Requeridos!$O$10:$O$20,"")="SI",S52=""),"Criterio Clas. 4",""),IF(AND(_xlfn.XLOOKUP($C$14,_Requeridos!$A$10:$A$20,_Requeridos!$P$10:$P$20,"")="SI",T52=""),"Criterio Clas. 5",""),IF(AND(_xlfn.XLOOKUP($C$14,_Requeridos!$A$10:$A$20,_Requeridos!$Q$10:$Q$20,"")="SI",U52=""),"Ubicación técnica",""),IF(AND(_xlfn.XLOOKUP($C$14,_Requeridos!$A$10:$A$20,_Requeridos!$R$10:$R$20,"")="SI",X52=""),"Centro",""),IF(AND(_xlfn.XLOOKUP($C$14,_Requeridos!$A$10:$A$20,_Requeridos!$S$10:$S$20,"")="SI",Y52=""),"Código País",""),IF(AND(_xlfn.XLOOKUP($C$14,_Requeridos!$A$10:$A$20,_Requeridos!$T$10:$T$20,"")="SI",Z52=""),"Emplazamiento",""),IF(AND(_xlfn.XLOOKUP($C$14,_Requeridos!$A$10:$A$20,_Requeridos!$U$10:$U$20,"")="SI",AB52=""),"Centro de Costo",""),IF(AND(_xlfn.XLOOKUP($C$14,_Requeridos!$A$10:$A$20,_Requeridos!$V$10:$V$20,"")="SI",AC52=""),"Número de personal",""),IF(AND(_xlfn.XLOOKUP($C$14,_Requeridos!$A$10:$A$20,_Requeridos!$W$10:$W$20,"")="SI",AH52=""),"Valor Unitario","")))&gt;0,"⚠️ Faltan: "&amp;_xlfn.TEXTJOIN(", ",TRUE,IF(AND(_xlfn.XLOOKUP($C$14,_Requeridos!$A$10:$A$20,_Requeridos!$B$10:$B$20,"")="SI",C52=""),"Orden de Inversión",""),IF(AND(_xlfn.XLOOKUP($C$14,_Requeridos!$A$10:$A$20,_Requeridos!$C$10:$C$20,"")="SI",D52=""),"Elemento PEP",""),IF(AND(_xlfn.XLOOKUP($C$14,_Requeridos!$A$10:$A$20,_Requeridos!$D$10:$D$20,"")="SI",E52=""),"Pedido",""),IF(AND(_xlfn.XLOOKUP($C$14,_Requeridos!$A$10:$A$20,_Requeridos!$E$10:$E$20,"")="SI",F52=""),"Descripción Activo SAP",""),IF(AND(_xlfn.XLOOKUP($C$14,_Requeridos!$A$10:$A$20,_Requeridos!$F$10:$F$20,"")="SI",G52=""),"Clase",""),IF(AND(_xlfn.XLOOKUP($C$14,_Requeridos!$A$10:$A$20,_Requeridos!$G$10:$G$20,"")="SI",H52=""),"Cantidad",""),IF(AND(_xlfn.XLOOKUP($C$14,_Requeridos!$A$10:$A$20,_Requeridos!$H$10:$H$20,"")="SI",I52=""),"Nombre principal AF",""),IF(AND(_xlfn.XLOOKUP($C$14,_Requeridos!$A$10:$A$20,_Requeridos!$I$10:$I$20,"")="SI",L52=""),"Fabricante",""),IF(AND(_xlfn.XLOOKUP($C$14,_Requeridos!$A$10:$A$20,_Requeridos!$J$10:$J$20,"")="SI",M52=""),"Nit Proveedor",""),IF(AND(_xlfn.XLOOKUP($C$14,_Requeridos!$A$10:$A$20,_Requeridos!$K$10:$K$20,"")="SI",N52=""),"Serie",""),IF(AND(_xlfn.XLOOKUP($C$14,_Requeridos!$A$10:$A$20,_Requeridos!$L$10:$L$20,"")="SI",P52=""),"Criterio Clas. 1",""),IF(AND(_xlfn.XLOOKUP($C$14,_Requeridos!$A$10:$A$20,_Requeridos!$M$10:$M$20,"")="SI",Q52=""),"Criterio Clas. 2",""),IF(AND(_xlfn.XLOOKUP($C$14,_Requeridos!$A$10:$A$20,_Requeridos!$N$10:$N$20,"")="SI",R52=""),"Criterio Clas. 3",""),IF(AND(_xlfn.XLOOKUP($C$14,_Requeridos!$A$10:$A$20,_Requeridos!$O$10:$O$20,"")="SI",S52=""),"Criterio Clas. 4",""),IF(AND(_xlfn.XLOOKUP($C$14,_Requeridos!$A$10:$A$20,_Requeridos!$P$10:$P$20,"")="SI",T52=""),"Criterio Clas. 5",""),IF(AND(_xlfn.XLOOKUP($C$14,_Requeridos!$A$10:$A$20,_Requeridos!$Q$10:$Q$20,"")="SI",U52=""),"Ubicación técnica",""),IF(AND(_xlfn.XLOOKUP($C$14,_Requeridos!$A$10:$A$20,_Requeridos!$R$10:$R$20,"")="SI",X52=""),"Centro",""),IF(AND(_xlfn.XLOOKUP($C$14,_Requeridos!$A$10:$A$20,_Requeridos!$S$10:$S$20,"")="SI",Y52=""),"Código País",""),IF(AND(_xlfn.XLOOKUP($C$14,_Requeridos!$A$10:$A$20,_Requeridos!$T$10:$T$20,"")="SI",Z52=""),"Emplazamiento",""),IF(AND(_xlfn.XLOOKUP($C$14,_Requeridos!$A$10:$A$20,_Requeridos!$U$10:$U$20,"")="SI",AB52=""),"Centro de Costo",""),IF(AND(_xlfn.XLOOKUP($C$14,_Requeridos!$A$10:$A$20,_Requeridos!$V$10:$V$20,"")="SI",AC52=""),"Número de personal",""),IF(AND(_xlfn.XLOOKUP($C$14,_Requeridos!$A$10:$A$20,_Requeridos!$W$10:$W$20,"")="SI",AH52=""),"Valor Unitario","")),"✅ Completo"))</f>
        <v/>
      </c>
      <c r="AK52" s="52"/>
    </row>
    <row r="53" spans="1:37" s="37" customFormat="1" x14ac:dyDescent="0.35">
      <c r="A53" s="31"/>
      <c r="B53" s="56">
        <v>32</v>
      </c>
      <c r="C53" s="57"/>
      <c r="D53" s="57"/>
      <c r="E53" s="57"/>
      <c r="F53" s="57"/>
      <c r="G53" s="58" t="str">
        <f>IFERROR(_xlfn.XLOOKUP(F53,Clase!$C$2:$C$292,Clase!$B$2:$B$292,""),"")</f>
        <v/>
      </c>
      <c r="H53" s="57"/>
      <c r="I53" s="59"/>
      <c r="J53" s="57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7"/>
      <c r="AC53" s="57"/>
      <c r="AD53" s="58" t="str">
        <f>IFERROR(_xlfn.XLOOKUP(AB53,Ceco!$B$2:$B$901,Ceco!$C$2:$C$901,""),"")</f>
        <v/>
      </c>
      <c r="AE53" s="57"/>
      <c r="AF53" s="57"/>
      <c r="AG53" s="60"/>
      <c r="AH53" s="57"/>
      <c r="AI53" s="61"/>
      <c r="AJ53" s="62" t="str">
        <f>IF(COUNTA(C53,D53,E53,F53,H53,I53,L53,M53,N53,P53,Q53,R53,S53,T53,U53,X53,Y53,Z53,AB53,AC53,AH53)=0,"",IF(LEN(_xlfn.TEXTJOIN(", ",TRUE,IF(AND(_xlfn.XLOOKUP($C$14,_Requeridos!$A$10:$A$20,_Requeridos!$B$10:$B$20,"")="SI",C53=""),"Orden de Inversión",""),IF(AND(_xlfn.XLOOKUP($C$14,_Requeridos!$A$10:$A$20,_Requeridos!$C$10:$C$20,"")="SI",D53=""),"Elemento PEP",""),IF(AND(_xlfn.XLOOKUP($C$14,_Requeridos!$A$10:$A$20,_Requeridos!$D$10:$D$20,"")="SI",E53=""),"Pedido",""),IF(AND(_xlfn.XLOOKUP($C$14,_Requeridos!$A$10:$A$20,_Requeridos!$E$10:$E$20,"")="SI",F53=""),"Descripción Activo SAP",""),IF(AND(_xlfn.XLOOKUP($C$14,_Requeridos!$A$10:$A$20,_Requeridos!$F$10:$F$20,"")="SI",G53=""),"Clase",""),IF(AND(_xlfn.XLOOKUP($C$14,_Requeridos!$A$10:$A$20,_Requeridos!$G$10:$G$20,"")="SI",H53=""),"Cantidad",""),IF(AND(_xlfn.XLOOKUP($C$14,_Requeridos!$A$10:$A$20,_Requeridos!$H$10:$H$20,"")="SI",I53=""),"Nombre principal AF",""),IF(AND(_xlfn.XLOOKUP($C$14,_Requeridos!$A$10:$A$20,_Requeridos!$I$10:$I$20,"")="SI",L53=""),"Fabricante",""),IF(AND(_xlfn.XLOOKUP($C$14,_Requeridos!$A$10:$A$20,_Requeridos!$J$10:$J$20,"")="SI",M53=""),"Nit Proveedor",""),IF(AND(_xlfn.XLOOKUP($C$14,_Requeridos!$A$10:$A$20,_Requeridos!$K$10:$K$20,"")="SI",N53=""),"Serie",""),IF(AND(_xlfn.XLOOKUP($C$14,_Requeridos!$A$10:$A$20,_Requeridos!$L$10:$L$20,"")="SI",P53=""),"Criterio Clas. 1",""),IF(AND(_xlfn.XLOOKUP($C$14,_Requeridos!$A$10:$A$20,_Requeridos!$M$10:$M$20,"")="SI",Q53=""),"Criterio Clas. 2",""),IF(AND(_xlfn.XLOOKUP($C$14,_Requeridos!$A$10:$A$20,_Requeridos!$N$10:$N$20,"")="SI",R53=""),"Criterio Clas. 3",""),IF(AND(_xlfn.XLOOKUP($C$14,_Requeridos!$A$10:$A$20,_Requeridos!$O$10:$O$20,"")="SI",S53=""),"Criterio Clas. 4",""),IF(AND(_xlfn.XLOOKUP($C$14,_Requeridos!$A$10:$A$20,_Requeridos!$P$10:$P$20,"")="SI",T53=""),"Criterio Clas. 5",""),IF(AND(_xlfn.XLOOKUP($C$14,_Requeridos!$A$10:$A$20,_Requeridos!$Q$10:$Q$20,"")="SI",U53=""),"Ubicación técnica",""),IF(AND(_xlfn.XLOOKUP($C$14,_Requeridos!$A$10:$A$20,_Requeridos!$R$10:$R$20,"")="SI",X53=""),"Centro",""),IF(AND(_xlfn.XLOOKUP($C$14,_Requeridos!$A$10:$A$20,_Requeridos!$S$10:$S$20,"")="SI",Y53=""),"Código País",""),IF(AND(_xlfn.XLOOKUP($C$14,_Requeridos!$A$10:$A$20,_Requeridos!$T$10:$T$20,"")="SI",Z53=""),"Emplazamiento",""),IF(AND(_xlfn.XLOOKUP($C$14,_Requeridos!$A$10:$A$20,_Requeridos!$U$10:$U$20,"")="SI",AB53=""),"Centro de Costo",""),IF(AND(_xlfn.XLOOKUP($C$14,_Requeridos!$A$10:$A$20,_Requeridos!$V$10:$V$20,"")="SI",AC53=""),"Número de personal",""),IF(AND(_xlfn.XLOOKUP($C$14,_Requeridos!$A$10:$A$20,_Requeridos!$W$10:$W$20,"")="SI",AH53=""),"Valor Unitario","")))&gt;0,"⚠️ Faltan: "&amp;_xlfn.TEXTJOIN(", ",TRUE,IF(AND(_xlfn.XLOOKUP($C$14,_Requeridos!$A$10:$A$20,_Requeridos!$B$10:$B$20,"")="SI",C53=""),"Orden de Inversión",""),IF(AND(_xlfn.XLOOKUP($C$14,_Requeridos!$A$10:$A$20,_Requeridos!$C$10:$C$20,"")="SI",D53=""),"Elemento PEP",""),IF(AND(_xlfn.XLOOKUP($C$14,_Requeridos!$A$10:$A$20,_Requeridos!$D$10:$D$20,"")="SI",E53=""),"Pedido",""),IF(AND(_xlfn.XLOOKUP($C$14,_Requeridos!$A$10:$A$20,_Requeridos!$E$10:$E$20,"")="SI",F53=""),"Descripción Activo SAP",""),IF(AND(_xlfn.XLOOKUP($C$14,_Requeridos!$A$10:$A$20,_Requeridos!$F$10:$F$20,"")="SI",G53=""),"Clase",""),IF(AND(_xlfn.XLOOKUP($C$14,_Requeridos!$A$10:$A$20,_Requeridos!$G$10:$G$20,"")="SI",H53=""),"Cantidad",""),IF(AND(_xlfn.XLOOKUP($C$14,_Requeridos!$A$10:$A$20,_Requeridos!$H$10:$H$20,"")="SI",I53=""),"Nombre principal AF",""),IF(AND(_xlfn.XLOOKUP($C$14,_Requeridos!$A$10:$A$20,_Requeridos!$I$10:$I$20,"")="SI",L53=""),"Fabricante",""),IF(AND(_xlfn.XLOOKUP($C$14,_Requeridos!$A$10:$A$20,_Requeridos!$J$10:$J$20,"")="SI",M53=""),"Nit Proveedor",""),IF(AND(_xlfn.XLOOKUP($C$14,_Requeridos!$A$10:$A$20,_Requeridos!$K$10:$K$20,"")="SI",N53=""),"Serie",""),IF(AND(_xlfn.XLOOKUP($C$14,_Requeridos!$A$10:$A$20,_Requeridos!$L$10:$L$20,"")="SI",P53=""),"Criterio Clas. 1",""),IF(AND(_xlfn.XLOOKUP($C$14,_Requeridos!$A$10:$A$20,_Requeridos!$M$10:$M$20,"")="SI",Q53=""),"Criterio Clas. 2",""),IF(AND(_xlfn.XLOOKUP($C$14,_Requeridos!$A$10:$A$20,_Requeridos!$N$10:$N$20,"")="SI",R53=""),"Criterio Clas. 3",""),IF(AND(_xlfn.XLOOKUP($C$14,_Requeridos!$A$10:$A$20,_Requeridos!$O$10:$O$20,"")="SI",S53=""),"Criterio Clas. 4",""),IF(AND(_xlfn.XLOOKUP($C$14,_Requeridos!$A$10:$A$20,_Requeridos!$P$10:$P$20,"")="SI",T53=""),"Criterio Clas. 5",""),IF(AND(_xlfn.XLOOKUP($C$14,_Requeridos!$A$10:$A$20,_Requeridos!$Q$10:$Q$20,"")="SI",U53=""),"Ubicación técnica",""),IF(AND(_xlfn.XLOOKUP($C$14,_Requeridos!$A$10:$A$20,_Requeridos!$R$10:$R$20,"")="SI",X53=""),"Centro",""),IF(AND(_xlfn.XLOOKUP($C$14,_Requeridos!$A$10:$A$20,_Requeridos!$S$10:$S$20,"")="SI",Y53=""),"Código País",""),IF(AND(_xlfn.XLOOKUP($C$14,_Requeridos!$A$10:$A$20,_Requeridos!$T$10:$T$20,"")="SI",Z53=""),"Emplazamiento",""),IF(AND(_xlfn.XLOOKUP($C$14,_Requeridos!$A$10:$A$20,_Requeridos!$U$10:$U$20,"")="SI",AB53=""),"Centro de Costo",""),IF(AND(_xlfn.XLOOKUP($C$14,_Requeridos!$A$10:$A$20,_Requeridos!$V$10:$V$20,"")="SI",AC53=""),"Número de personal",""),IF(AND(_xlfn.XLOOKUP($C$14,_Requeridos!$A$10:$A$20,_Requeridos!$W$10:$W$20,"")="SI",AH53=""),"Valor Unitario","")),"✅ Completo"))</f>
        <v/>
      </c>
      <c r="AK53" s="52"/>
    </row>
    <row r="54" spans="1:37" s="37" customFormat="1" x14ac:dyDescent="0.35">
      <c r="A54" s="31"/>
      <c r="B54" s="56">
        <v>33</v>
      </c>
      <c r="C54" s="57"/>
      <c r="D54" s="57"/>
      <c r="E54" s="57"/>
      <c r="F54" s="57"/>
      <c r="G54" s="58" t="str">
        <f>IFERROR(_xlfn.XLOOKUP(F54,Clase!$C$2:$C$292,Clase!$B$2:$B$292,""),"")</f>
        <v/>
      </c>
      <c r="H54" s="57"/>
      <c r="I54" s="59"/>
      <c r="J54" s="57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7"/>
      <c r="AC54" s="57"/>
      <c r="AD54" s="58" t="str">
        <f>IFERROR(_xlfn.XLOOKUP(AB54,Ceco!$B$2:$B$901,Ceco!$C$2:$C$901,""),"")</f>
        <v/>
      </c>
      <c r="AE54" s="57"/>
      <c r="AF54" s="57"/>
      <c r="AG54" s="60"/>
      <c r="AH54" s="57"/>
      <c r="AI54" s="61"/>
      <c r="AJ54" s="62" t="str">
        <f>IF(COUNTA(C54,D54,E54,F54,H54,I54,L54,M54,N54,P54,Q54,R54,S54,T54,U54,X54,Y54,Z54,AB54,AC54,AH54)=0,"",IF(LEN(_xlfn.TEXTJOIN(", ",TRUE,IF(AND(_xlfn.XLOOKUP($C$14,_Requeridos!$A$10:$A$20,_Requeridos!$B$10:$B$20,"")="SI",C54=""),"Orden de Inversión",""),IF(AND(_xlfn.XLOOKUP($C$14,_Requeridos!$A$10:$A$20,_Requeridos!$C$10:$C$20,"")="SI",D54=""),"Elemento PEP",""),IF(AND(_xlfn.XLOOKUP($C$14,_Requeridos!$A$10:$A$20,_Requeridos!$D$10:$D$20,"")="SI",E54=""),"Pedido",""),IF(AND(_xlfn.XLOOKUP($C$14,_Requeridos!$A$10:$A$20,_Requeridos!$E$10:$E$20,"")="SI",F54=""),"Descripción Activo SAP",""),IF(AND(_xlfn.XLOOKUP($C$14,_Requeridos!$A$10:$A$20,_Requeridos!$F$10:$F$20,"")="SI",G54=""),"Clase",""),IF(AND(_xlfn.XLOOKUP($C$14,_Requeridos!$A$10:$A$20,_Requeridos!$G$10:$G$20,"")="SI",H54=""),"Cantidad",""),IF(AND(_xlfn.XLOOKUP($C$14,_Requeridos!$A$10:$A$20,_Requeridos!$H$10:$H$20,"")="SI",I54=""),"Nombre principal AF",""),IF(AND(_xlfn.XLOOKUP($C$14,_Requeridos!$A$10:$A$20,_Requeridos!$I$10:$I$20,"")="SI",L54=""),"Fabricante",""),IF(AND(_xlfn.XLOOKUP($C$14,_Requeridos!$A$10:$A$20,_Requeridos!$J$10:$J$20,"")="SI",M54=""),"Nit Proveedor",""),IF(AND(_xlfn.XLOOKUP($C$14,_Requeridos!$A$10:$A$20,_Requeridos!$K$10:$K$20,"")="SI",N54=""),"Serie",""),IF(AND(_xlfn.XLOOKUP($C$14,_Requeridos!$A$10:$A$20,_Requeridos!$L$10:$L$20,"")="SI",P54=""),"Criterio Clas. 1",""),IF(AND(_xlfn.XLOOKUP($C$14,_Requeridos!$A$10:$A$20,_Requeridos!$M$10:$M$20,"")="SI",Q54=""),"Criterio Clas. 2",""),IF(AND(_xlfn.XLOOKUP($C$14,_Requeridos!$A$10:$A$20,_Requeridos!$N$10:$N$20,"")="SI",R54=""),"Criterio Clas. 3",""),IF(AND(_xlfn.XLOOKUP($C$14,_Requeridos!$A$10:$A$20,_Requeridos!$O$10:$O$20,"")="SI",S54=""),"Criterio Clas. 4",""),IF(AND(_xlfn.XLOOKUP($C$14,_Requeridos!$A$10:$A$20,_Requeridos!$P$10:$P$20,"")="SI",T54=""),"Criterio Clas. 5",""),IF(AND(_xlfn.XLOOKUP($C$14,_Requeridos!$A$10:$A$20,_Requeridos!$Q$10:$Q$20,"")="SI",U54=""),"Ubicación técnica",""),IF(AND(_xlfn.XLOOKUP($C$14,_Requeridos!$A$10:$A$20,_Requeridos!$R$10:$R$20,"")="SI",X54=""),"Centro",""),IF(AND(_xlfn.XLOOKUP($C$14,_Requeridos!$A$10:$A$20,_Requeridos!$S$10:$S$20,"")="SI",Y54=""),"Código País",""),IF(AND(_xlfn.XLOOKUP($C$14,_Requeridos!$A$10:$A$20,_Requeridos!$T$10:$T$20,"")="SI",Z54=""),"Emplazamiento",""),IF(AND(_xlfn.XLOOKUP($C$14,_Requeridos!$A$10:$A$20,_Requeridos!$U$10:$U$20,"")="SI",AB54=""),"Centro de Costo",""),IF(AND(_xlfn.XLOOKUP($C$14,_Requeridos!$A$10:$A$20,_Requeridos!$V$10:$V$20,"")="SI",AC54=""),"Número de personal",""),IF(AND(_xlfn.XLOOKUP($C$14,_Requeridos!$A$10:$A$20,_Requeridos!$W$10:$W$20,"")="SI",AH54=""),"Valor Unitario","")))&gt;0,"⚠️ Faltan: "&amp;_xlfn.TEXTJOIN(", ",TRUE,IF(AND(_xlfn.XLOOKUP($C$14,_Requeridos!$A$10:$A$20,_Requeridos!$B$10:$B$20,"")="SI",C54=""),"Orden de Inversión",""),IF(AND(_xlfn.XLOOKUP($C$14,_Requeridos!$A$10:$A$20,_Requeridos!$C$10:$C$20,"")="SI",D54=""),"Elemento PEP",""),IF(AND(_xlfn.XLOOKUP($C$14,_Requeridos!$A$10:$A$20,_Requeridos!$D$10:$D$20,"")="SI",E54=""),"Pedido",""),IF(AND(_xlfn.XLOOKUP($C$14,_Requeridos!$A$10:$A$20,_Requeridos!$E$10:$E$20,"")="SI",F54=""),"Descripción Activo SAP",""),IF(AND(_xlfn.XLOOKUP($C$14,_Requeridos!$A$10:$A$20,_Requeridos!$F$10:$F$20,"")="SI",G54=""),"Clase",""),IF(AND(_xlfn.XLOOKUP($C$14,_Requeridos!$A$10:$A$20,_Requeridos!$G$10:$G$20,"")="SI",H54=""),"Cantidad",""),IF(AND(_xlfn.XLOOKUP($C$14,_Requeridos!$A$10:$A$20,_Requeridos!$H$10:$H$20,"")="SI",I54=""),"Nombre principal AF",""),IF(AND(_xlfn.XLOOKUP($C$14,_Requeridos!$A$10:$A$20,_Requeridos!$I$10:$I$20,"")="SI",L54=""),"Fabricante",""),IF(AND(_xlfn.XLOOKUP($C$14,_Requeridos!$A$10:$A$20,_Requeridos!$J$10:$J$20,"")="SI",M54=""),"Nit Proveedor",""),IF(AND(_xlfn.XLOOKUP($C$14,_Requeridos!$A$10:$A$20,_Requeridos!$K$10:$K$20,"")="SI",N54=""),"Serie",""),IF(AND(_xlfn.XLOOKUP($C$14,_Requeridos!$A$10:$A$20,_Requeridos!$L$10:$L$20,"")="SI",P54=""),"Criterio Clas. 1",""),IF(AND(_xlfn.XLOOKUP($C$14,_Requeridos!$A$10:$A$20,_Requeridos!$M$10:$M$20,"")="SI",Q54=""),"Criterio Clas. 2",""),IF(AND(_xlfn.XLOOKUP($C$14,_Requeridos!$A$10:$A$20,_Requeridos!$N$10:$N$20,"")="SI",R54=""),"Criterio Clas. 3",""),IF(AND(_xlfn.XLOOKUP($C$14,_Requeridos!$A$10:$A$20,_Requeridos!$O$10:$O$20,"")="SI",S54=""),"Criterio Clas. 4",""),IF(AND(_xlfn.XLOOKUP($C$14,_Requeridos!$A$10:$A$20,_Requeridos!$P$10:$P$20,"")="SI",T54=""),"Criterio Clas. 5",""),IF(AND(_xlfn.XLOOKUP($C$14,_Requeridos!$A$10:$A$20,_Requeridos!$Q$10:$Q$20,"")="SI",U54=""),"Ubicación técnica",""),IF(AND(_xlfn.XLOOKUP($C$14,_Requeridos!$A$10:$A$20,_Requeridos!$R$10:$R$20,"")="SI",X54=""),"Centro",""),IF(AND(_xlfn.XLOOKUP($C$14,_Requeridos!$A$10:$A$20,_Requeridos!$S$10:$S$20,"")="SI",Y54=""),"Código País",""),IF(AND(_xlfn.XLOOKUP($C$14,_Requeridos!$A$10:$A$20,_Requeridos!$T$10:$T$20,"")="SI",Z54=""),"Emplazamiento",""),IF(AND(_xlfn.XLOOKUP($C$14,_Requeridos!$A$10:$A$20,_Requeridos!$U$10:$U$20,"")="SI",AB54=""),"Centro de Costo",""),IF(AND(_xlfn.XLOOKUP($C$14,_Requeridos!$A$10:$A$20,_Requeridos!$V$10:$V$20,"")="SI",AC54=""),"Número de personal",""),IF(AND(_xlfn.XLOOKUP($C$14,_Requeridos!$A$10:$A$20,_Requeridos!$W$10:$W$20,"")="SI",AH54=""),"Valor Unitario","")),"✅ Completo"))</f>
        <v/>
      </c>
      <c r="AK54" s="52"/>
    </row>
    <row r="55" spans="1:37" s="37" customFormat="1" x14ac:dyDescent="0.35">
      <c r="A55" s="31"/>
      <c r="B55" s="56">
        <v>34</v>
      </c>
      <c r="C55" s="57"/>
      <c r="D55" s="57"/>
      <c r="E55" s="57"/>
      <c r="F55" s="57"/>
      <c r="G55" s="58" t="str">
        <f>IFERROR(_xlfn.XLOOKUP(F55,Clase!$C$2:$C$292,Clase!$B$2:$B$292,""),"")</f>
        <v/>
      </c>
      <c r="H55" s="57"/>
      <c r="I55" s="59"/>
      <c r="J55" s="57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7"/>
      <c r="AC55" s="57"/>
      <c r="AD55" s="58" t="str">
        <f>IFERROR(_xlfn.XLOOKUP(AB55,Ceco!$B$2:$B$901,Ceco!$C$2:$C$901,""),"")</f>
        <v/>
      </c>
      <c r="AE55" s="57"/>
      <c r="AF55" s="57"/>
      <c r="AG55" s="60"/>
      <c r="AH55" s="57"/>
      <c r="AI55" s="61"/>
      <c r="AJ55" s="62" t="str">
        <f>IF(COUNTA(C55,D55,E55,F55,H55,I55,L55,M55,N55,P55,Q55,R55,S55,T55,U55,X55,Y55,Z55,AB55,AC55,AH55)=0,"",IF(LEN(_xlfn.TEXTJOIN(", ",TRUE,IF(AND(_xlfn.XLOOKUP($C$14,_Requeridos!$A$10:$A$20,_Requeridos!$B$10:$B$20,"")="SI",C55=""),"Orden de Inversión",""),IF(AND(_xlfn.XLOOKUP($C$14,_Requeridos!$A$10:$A$20,_Requeridos!$C$10:$C$20,"")="SI",D55=""),"Elemento PEP",""),IF(AND(_xlfn.XLOOKUP($C$14,_Requeridos!$A$10:$A$20,_Requeridos!$D$10:$D$20,"")="SI",E55=""),"Pedido",""),IF(AND(_xlfn.XLOOKUP($C$14,_Requeridos!$A$10:$A$20,_Requeridos!$E$10:$E$20,"")="SI",F55=""),"Descripción Activo SAP",""),IF(AND(_xlfn.XLOOKUP($C$14,_Requeridos!$A$10:$A$20,_Requeridos!$F$10:$F$20,"")="SI",G55=""),"Clase",""),IF(AND(_xlfn.XLOOKUP($C$14,_Requeridos!$A$10:$A$20,_Requeridos!$G$10:$G$20,"")="SI",H55=""),"Cantidad",""),IF(AND(_xlfn.XLOOKUP($C$14,_Requeridos!$A$10:$A$20,_Requeridos!$H$10:$H$20,"")="SI",I55=""),"Nombre principal AF",""),IF(AND(_xlfn.XLOOKUP($C$14,_Requeridos!$A$10:$A$20,_Requeridos!$I$10:$I$20,"")="SI",L55=""),"Fabricante",""),IF(AND(_xlfn.XLOOKUP($C$14,_Requeridos!$A$10:$A$20,_Requeridos!$J$10:$J$20,"")="SI",M55=""),"Nit Proveedor",""),IF(AND(_xlfn.XLOOKUP($C$14,_Requeridos!$A$10:$A$20,_Requeridos!$K$10:$K$20,"")="SI",N55=""),"Serie",""),IF(AND(_xlfn.XLOOKUP($C$14,_Requeridos!$A$10:$A$20,_Requeridos!$L$10:$L$20,"")="SI",P55=""),"Criterio Clas. 1",""),IF(AND(_xlfn.XLOOKUP($C$14,_Requeridos!$A$10:$A$20,_Requeridos!$M$10:$M$20,"")="SI",Q55=""),"Criterio Clas. 2",""),IF(AND(_xlfn.XLOOKUP($C$14,_Requeridos!$A$10:$A$20,_Requeridos!$N$10:$N$20,"")="SI",R55=""),"Criterio Clas. 3",""),IF(AND(_xlfn.XLOOKUP($C$14,_Requeridos!$A$10:$A$20,_Requeridos!$O$10:$O$20,"")="SI",S55=""),"Criterio Clas. 4",""),IF(AND(_xlfn.XLOOKUP($C$14,_Requeridos!$A$10:$A$20,_Requeridos!$P$10:$P$20,"")="SI",T55=""),"Criterio Clas. 5",""),IF(AND(_xlfn.XLOOKUP($C$14,_Requeridos!$A$10:$A$20,_Requeridos!$Q$10:$Q$20,"")="SI",U55=""),"Ubicación técnica",""),IF(AND(_xlfn.XLOOKUP($C$14,_Requeridos!$A$10:$A$20,_Requeridos!$R$10:$R$20,"")="SI",X55=""),"Centro",""),IF(AND(_xlfn.XLOOKUP($C$14,_Requeridos!$A$10:$A$20,_Requeridos!$S$10:$S$20,"")="SI",Y55=""),"Código País",""),IF(AND(_xlfn.XLOOKUP($C$14,_Requeridos!$A$10:$A$20,_Requeridos!$T$10:$T$20,"")="SI",Z55=""),"Emplazamiento",""),IF(AND(_xlfn.XLOOKUP($C$14,_Requeridos!$A$10:$A$20,_Requeridos!$U$10:$U$20,"")="SI",AB55=""),"Centro de Costo",""),IF(AND(_xlfn.XLOOKUP($C$14,_Requeridos!$A$10:$A$20,_Requeridos!$V$10:$V$20,"")="SI",AC55=""),"Número de personal",""),IF(AND(_xlfn.XLOOKUP($C$14,_Requeridos!$A$10:$A$20,_Requeridos!$W$10:$W$20,"")="SI",AH55=""),"Valor Unitario","")))&gt;0,"⚠️ Faltan: "&amp;_xlfn.TEXTJOIN(", ",TRUE,IF(AND(_xlfn.XLOOKUP($C$14,_Requeridos!$A$10:$A$20,_Requeridos!$B$10:$B$20,"")="SI",C55=""),"Orden de Inversión",""),IF(AND(_xlfn.XLOOKUP($C$14,_Requeridos!$A$10:$A$20,_Requeridos!$C$10:$C$20,"")="SI",D55=""),"Elemento PEP",""),IF(AND(_xlfn.XLOOKUP($C$14,_Requeridos!$A$10:$A$20,_Requeridos!$D$10:$D$20,"")="SI",E55=""),"Pedido",""),IF(AND(_xlfn.XLOOKUP($C$14,_Requeridos!$A$10:$A$20,_Requeridos!$E$10:$E$20,"")="SI",F55=""),"Descripción Activo SAP",""),IF(AND(_xlfn.XLOOKUP($C$14,_Requeridos!$A$10:$A$20,_Requeridos!$F$10:$F$20,"")="SI",G55=""),"Clase",""),IF(AND(_xlfn.XLOOKUP($C$14,_Requeridos!$A$10:$A$20,_Requeridos!$G$10:$G$20,"")="SI",H55=""),"Cantidad",""),IF(AND(_xlfn.XLOOKUP($C$14,_Requeridos!$A$10:$A$20,_Requeridos!$H$10:$H$20,"")="SI",I55=""),"Nombre principal AF",""),IF(AND(_xlfn.XLOOKUP($C$14,_Requeridos!$A$10:$A$20,_Requeridos!$I$10:$I$20,"")="SI",L55=""),"Fabricante",""),IF(AND(_xlfn.XLOOKUP($C$14,_Requeridos!$A$10:$A$20,_Requeridos!$J$10:$J$20,"")="SI",M55=""),"Nit Proveedor",""),IF(AND(_xlfn.XLOOKUP($C$14,_Requeridos!$A$10:$A$20,_Requeridos!$K$10:$K$20,"")="SI",N55=""),"Serie",""),IF(AND(_xlfn.XLOOKUP($C$14,_Requeridos!$A$10:$A$20,_Requeridos!$L$10:$L$20,"")="SI",P55=""),"Criterio Clas. 1",""),IF(AND(_xlfn.XLOOKUP($C$14,_Requeridos!$A$10:$A$20,_Requeridos!$M$10:$M$20,"")="SI",Q55=""),"Criterio Clas. 2",""),IF(AND(_xlfn.XLOOKUP($C$14,_Requeridos!$A$10:$A$20,_Requeridos!$N$10:$N$20,"")="SI",R55=""),"Criterio Clas. 3",""),IF(AND(_xlfn.XLOOKUP($C$14,_Requeridos!$A$10:$A$20,_Requeridos!$O$10:$O$20,"")="SI",S55=""),"Criterio Clas. 4",""),IF(AND(_xlfn.XLOOKUP($C$14,_Requeridos!$A$10:$A$20,_Requeridos!$P$10:$P$20,"")="SI",T55=""),"Criterio Clas. 5",""),IF(AND(_xlfn.XLOOKUP($C$14,_Requeridos!$A$10:$A$20,_Requeridos!$Q$10:$Q$20,"")="SI",U55=""),"Ubicación técnica",""),IF(AND(_xlfn.XLOOKUP($C$14,_Requeridos!$A$10:$A$20,_Requeridos!$R$10:$R$20,"")="SI",X55=""),"Centro",""),IF(AND(_xlfn.XLOOKUP($C$14,_Requeridos!$A$10:$A$20,_Requeridos!$S$10:$S$20,"")="SI",Y55=""),"Código País",""),IF(AND(_xlfn.XLOOKUP($C$14,_Requeridos!$A$10:$A$20,_Requeridos!$T$10:$T$20,"")="SI",Z55=""),"Emplazamiento",""),IF(AND(_xlfn.XLOOKUP($C$14,_Requeridos!$A$10:$A$20,_Requeridos!$U$10:$U$20,"")="SI",AB55=""),"Centro de Costo",""),IF(AND(_xlfn.XLOOKUP($C$14,_Requeridos!$A$10:$A$20,_Requeridos!$V$10:$V$20,"")="SI",AC55=""),"Número de personal",""),IF(AND(_xlfn.XLOOKUP($C$14,_Requeridos!$A$10:$A$20,_Requeridos!$W$10:$W$20,"")="SI",AH55=""),"Valor Unitario","")),"✅ Completo"))</f>
        <v/>
      </c>
      <c r="AK55" s="52"/>
    </row>
    <row r="56" spans="1:37" s="37" customFormat="1" x14ac:dyDescent="0.35">
      <c r="A56" s="31"/>
      <c r="B56" s="56">
        <v>35</v>
      </c>
      <c r="C56" s="57"/>
      <c r="D56" s="57"/>
      <c r="E56" s="57"/>
      <c r="F56" s="57"/>
      <c r="G56" s="58" t="str">
        <f>IFERROR(_xlfn.XLOOKUP(F56,Clase!$C$2:$C$292,Clase!$B$2:$B$292,""),"")</f>
        <v/>
      </c>
      <c r="H56" s="57"/>
      <c r="I56" s="59"/>
      <c r="J56" s="57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7"/>
      <c r="AC56" s="57"/>
      <c r="AD56" s="58" t="str">
        <f>IFERROR(_xlfn.XLOOKUP(AB56,Ceco!$B$2:$B$901,Ceco!$C$2:$C$901,""),"")</f>
        <v/>
      </c>
      <c r="AE56" s="57"/>
      <c r="AF56" s="57"/>
      <c r="AG56" s="60"/>
      <c r="AH56" s="57"/>
      <c r="AI56" s="61"/>
      <c r="AJ56" s="62" t="str">
        <f>IF(COUNTA(C56,D56,E56,F56,H56,I56,L56,M56,N56,P56,Q56,R56,S56,T56,U56,X56,Y56,Z56,AB56,AC56,AH56)=0,"",IF(LEN(_xlfn.TEXTJOIN(", ",TRUE,IF(AND(_xlfn.XLOOKUP($C$14,_Requeridos!$A$10:$A$20,_Requeridos!$B$10:$B$20,"")="SI",C56=""),"Orden de Inversión",""),IF(AND(_xlfn.XLOOKUP($C$14,_Requeridos!$A$10:$A$20,_Requeridos!$C$10:$C$20,"")="SI",D56=""),"Elemento PEP",""),IF(AND(_xlfn.XLOOKUP($C$14,_Requeridos!$A$10:$A$20,_Requeridos!$D$10:$D$20,"")="SI",E56=""),"Pedido",""),IF(AND(_xlfn.XLOOKUP($C$14,_Requeridos!$A$10:$A$20,_Requeridos!$E$10:$E$20,"")="SI",F56=""),"Descripción Activo SAP",""),IF(AND(_xlfn.XLOOKUP($C$14,_Requeridos!$A$10:$A$20,_Requeridos!$F$10:$F$20,"")="SI",G56=""),"Clase",""),IF(AND(_xlfn.XLOOKUP($C$14,_Requeridos!$A$10:$A$20,_Requeridos!$G$10:$G$20,"")="SI",H56=""),"Cantidad",""),IF(AND(_xlfn.XLOOKUP($C$14,_Requeridos!$A$10:$A$20,_Requeridos!$H$10:$H$20,"")="SI",I56=""),"Nombre principal AF",""),IF(AND(_xlfn.XLOOKUP($C$14,_Requeridos!$A$10:$A$20,_Requeridos!$I$10:$I$20,"")="SI",L56=""),"Fabricante",""),IF(AND(_xlfn.XLOOKUP($C$14,_Requeridos!$A$10:$A$20,_Requeridos!$J$10:$J$20,"")="SI",M56=""),"Nit Proveedor",""),IF(AND(_xlfn.XLOOKUP($C$14,_Requeridos!$A$10:$A$20,_Requeridos!$K$10:$K$20,"")="SI",N56=""),"Serie",""),IF(AND(_xlfn.XLOOKUP($C$14,_Requeridos!$A$10:$A$20,_Requeridos!$L$10:$L$20,"")="SI",P56=""),"Criterio Clas. 1",""),IF(AND(_xlfn.XLOOKUP($C$14,_Requeridos!$A$10:$A$20,_Requeridos!$M$10:$M$20,"")="SI",Q56=""),"Criterio Clas. 2",""),IF(AND(_xlfn.XLOOKUP($C$14,_Requeridos!$A$10:$A$20,_Requeridos!$N$10:$N$20,"")="SI",R56=""),"Criterio Clas. 3",""),IF(AND(_xlfn.XLOOKUP($C$14,_Requeridos!$A$10:$A$20,_Requeridos!$O$10:$O$20,"")="SI",S56=""),"Criterio Clas. 4",""),IF(AND(_xlfn.XLOOKUP($C$14,_Requeridos!$A$10:$A$20,_Requeridos!$P$10:$P$20,"")="SI",T56=""),"Criterio Clas. 5",""),IF(AND(_xlfn.XLOOKUP($C$14,_Requeridos!$A$10:$A$20,_Requeridos!$Q$10:$Q$20,"")="SI",U56=""),"Ubicación técnica",""),IF(AND(_xlfn.XLOOKUP($C$14,_Requeridos!$A$10:$A$20,_Requeridos!$R$10:$R$20,"")="SI",X56=""),"Centro",""),IF(AND(_xlfn.XLOOKUP($C$14,_Requeridos!$A$10:$A$20,_Requeridos!$S$10:$S$20,"")="SI",Y56=""),"Código País",""),IF(AND(_xlfn.XLOOKUP($C$14,_Requeridos!$A$10:$A$20,_Requeridos!$T$10:$T$20,"")="SI",Z56=""),"Emplazamiento",""),IF(AND(_xlfn.XLOOKUP($C$14,_Requeridos!$A$10:$A$20,_Requeridos!$U$10:$U$20,"")="SI",AB56=""),"Centro de Costo",""),IF(AND(_xlfn.XLOOKUP($C$14,_Requeridos!$A$10:$A$20,_Requeridos!$V$10:$V$20,"")="SI",AC56=""),"Número de personal",""),IF(AND(_xlfn.XLOOKUP($C$14,_Requeridos!$A$10:$A$20,_Requeridos!$W$10:$W$20,"")="SI",AH56=""),"Valor Unitario","")))&gt;0,"⚠️ Faltan: "&amp;_xlfn.TEXTJOIN(", ",TRUE,IF(AND(_xlfn.XLOOKUP($C$14,_Requeridos!$A$10:$A$20,_Requeridos!$B$10:$B$20,"")="SI",C56=""),"Orden de Inversión",""),IF(AND(_xlfn.XLOOKUP($C$14,_Requeridos!$A$10:$A$20,_Requeridos!$C$10:$C$20,"")="SI",D56=""),"Elemento PEP",""),IF(AND(_xlfn.XLOOKUP($C$14,_Requeridos!$A$10:$A$20,_Requeridos!$D$10:$D$20,"")="SI",E56=""),"Pedido",""),IF(AND(_xlfn.XLOOKUP($C$14,_Requeridos!$A$10:$A$20,_Requeridos!$E$10:$E$20,"")="SI",F56=""),"Descripción Activo SAP",""),IF(AND(_xlfn.XLOOKUP($C$14,_Requeridos!$A$10:$A$20,_Requeridos!$F$10:$F$20,"")="SI",G56=""),"Clase",""),IF(AND(_xlfn.XLOOKUP($C$14,_Requeridos!$A$10:$A$20,_Requeridos!$G$10:$G$20,"")="SI",H56=""),"Cantidad",""),IF(AND(_xlfn.XLOOKUP($C$14,_Requeridos!$A$10:$A$20,_Requeridos!$H$10:$H$20,"")="SI",I56=""),"Nombre principal AF",""),IF(AND(_xlfn.XLOOKUP($C$14,_Requeridos!$A$10:$A$20,_Requeridos!$I$10:$I$20,"")="SI",L56=""),"Fabricante",""),IF(AND(_xlfn.XLOOKUP($C$14,_Requeridos!$A$10:$A$20,_Requeridos!$J$10:$J$20,"")="SI",M56=""),"Nit Proveedor",""),IF(AND(_xlfn.XLOOKUP($C$14,_Requeridos!$A$10:$A$20,_Requeridos!$K$10:$K$20,"")="SI",N56=""),"Serie",""),IF(AND(_xlfn.XLOOKUP($C$14,_Requeridos!$A$10:$A$20,_Requeridos!$L$10:$L$20,"")="SI",P56=""),"Criterio Clas. 1",""),IF(AND(_xlfn.XLOOKUP($C$14,_Requeridos!$A$10:$A$20,_Requeridos!$M$10:$M$20,"")="SI",Q56=""),"Criterio Clas. 2",""),IF(AND(_xlfn.XLOOKUP($C$14,_Requeridos!$A$10:$A$20,_Requeridos!$N$10:$N$20,"")="SI",R56=""),"Criterio Clas. 3",""),IF(AND(_xlfn.XLOOKUP($C$14,_Requeridos!$A$10:$A$20,_Requeridos!$O$10:$O$20,"")="SI",S56=""),"Criterio Clas. 4",""),IF(AND(_xlfn.XLOOKUP($C$14,_Requeridos!$A$10:$A$20,_Requeridos!$P$10:$P$20,"")="SI",T56=""),"Criterio Clas. 5",""),IF(AND(_xlfn.XLOOKUP($C$14,_Requeridos!$A$10:$A$20,_Requeridos!$Q$10:$Q$20,"")="SI",U56=""),"Ubicación técnica",""),IF(AND(_xlfn.XLOOKUP($C$14,_Requeridos!$A$10:$A$20,_Requeridos!$R$10:$R$20,"")="SI",X56=""),"Centro",""),IF(AND(_xlfn.XLOOKUP($C$14,_Requeridos!$A$10:$A$20,_Requeridos!$S$10:$S$20,"")="SI",Y56=""),"Código País",""),IF(AND(_xlfn.XLOOKUP($C$14,_Requeridos!$A$10:$A$20,_Requeridos!$T$10:$T$20,"")="SI",Z56=""),"Emplazamiento",""),IF(AND(_xlfn.XLOOKUP($C$14,_Requeridos!$A$10:$A$20,_Requeridos!$U$10:$U$20,"")="SI",AB56=""),"Centro de Costo",""),IF(AND(_xlfn.XLOOKUP($C$14,_Requeridos!$A$10:$A$20,_Requeridos!$V$10:$V$20,"")="SI",AC56=""),"Número de personal",""),IF(AND(_xlfn.XLOOKUP($C$14,_Requeridos!$A$10:$A$20,_Requeridos!$W$10:$W$20,"")="SI",AH56=""),"Valor Unitario","")),"✅ Completo"))</f>
        <v/>
      </c>
      <c r="AK56" s="52"/>
    </row>
    <row r="57" spans="1:37" s="37" customFormat="1" x14ac:dyDescent="0.35">
      <c r="A57" s="31"/>
      <c r="B57" s="56">
        <v>36</v>
      </c>
      <c r="C57" s="57"/>
      <c r="D57" s="57"/>
      <c r="E57" s="57"/>
      <c r="F57" s="57"/>
      <c r="G57" s="58" t="str">
        <f>IFERROR(_xlfn.XLOOKUP(F57,Clase!$C$2:$C$292,Clase!$B$2:$B$292,""),"")</f>
        <v/>
      </c>
      <c r="H57" s="57"/>
      <c r="I57" s="59"/>
      <c r="J57" s="57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7"/>
      <c r="AC57" s="57"/>
      <c r="AD57" s="58" t="str">
        <f>IFERROR(_xlfn.XLOOKUP(AB57,Ceco!$B$2:$B$901,Ceco!$C$2:$C$901,""),"")</f>
        <v/>
      </c>
      <c r="AE57" s="57"/>
      <c r="AF57" s="57"/>
      <c r="AG57" s="60"/>
      <c r="AH57" s="57"/>
      <c r="AI57" s="61"/>
      <c r="AJ57" s="62" t="str">
        <f>IF(COUNTA(C57,D57,E57,F57,H57,I57,L57,M57,N57,P57,Q57,R57,S57,T57,U57,X57,Y57,Z57,AB57,AC57,AH57)=0,"",IF(LEN(_xlfn.TEXTJOIN(", ",TRUE,IF(AND(_xlfn.XLOOKUP($C$14,_Requeridos!$A$10:$A$20,_Requeridos!$B$10:$B$20,"")="SI",C57=""),"Orden de Inversión",""),IF(AND(_xlfn.XLOOKUP($C$14,_Requeridos!$A$10:$A$20,_Requeridos!$C$10:$C$20,"")="SI",D57=""),"Elemento PEP",""),IF(AND(_xlfn.XLOOKUP($C$14,_Requeridos!$A$10:$A$20,_Requeridos!$D$10:$D$20,"")="SI",E57=""),"Pedido",""),IF(AND(_xlfn.XLOOKUP($C$14,_Requeridos!$A$10:$A$20,_Requeridos!$E$10:$E$20,"")="SI",F57=""),"Descripción Activo SAP",""),IF(AND(_xlfn.XLOOKUP($C$14,_Requeridos!$A$10:$A$20,_Requeridos!$F$10:$F$20,"")="SI",G57=""),"Clase",""),IF(AND(_xlfn.XLOOKUP($C$14,_Requeridos!$A$10:$A$20,_Requeridos!$G$10:$G$20,"")="SI",H57=""),"Cantidad",""),IF(AND(_xlfn.XLOOKUP($C$14,_Requeridos!$A$10:$A$20,_Requeridos!$H$10:$H$20,"")="SI",I57=""),"Nombre principal AF",""),IF(AND(_xlfn.XLOOKUP($C$14,_Requeridos!$A$10:$A$20,_Requeridos!$I$10:$I$20,"")="SI",L57=""),"Fabricante",""),IF(AND(_xlfn.XLOOKUP($C$14,_Requeridos!$A$10:$A$20,_Requeridos!$J$10:$J$20,"")="SI",M57=""),"Nit Proveedor",""),IF(AND(_xlfn.XLOOKUP($C$14,_Requeridos!$A$10:$A$20,_Requeridos!$K$10:$K$20,"")="SI",N57=""),"Serie",""),IF(AND(_xlfn.XLOOKUP($C$14,_Requeridos!$A$10:$A$20,_Requeridos!$L$10:$L$20,"")="SI",P57=""),"Criterio Clas. 1",""),IF(AND(_xlfn.XLOOKUP($C$14,_Requeridos!$A$10:$A$20,_Requeridos!$M$10:$M$20,"")="SI",Q57=""),"Criterio Clas. 2",""),IF(AND(_xlfn.XLOOKUP($C$14,_Requeridos!$A$10:$A$20,_Requeridos!$N$10:$N$20,"")="SI",R57=""),"Criterio Clas. 3",""),IF(AND(_xlfn.XLOOKUP($C$14,_Requeridos!$A$10:$A$20,_Requeridos!$O$10:$O$20,"")="SI",S57=""),"Criterio Clas. 4",""),IF(AND(_xlfn.XLOOKUP($C$14,_Requeridos!$A$10:$A$20,_Requeridos!$P$10:$P$20,"")="SI",T57=""),"Criterio Clas. 5",""),IF(AND(_xlfn.XLOOKUP($C$14,_Requeridos!$A$10:$A$20,_Requeridos!$Q$10:$Q$20,"")="SI",U57=""),"Ubicación técnica",""),IF(AND(_xlfn.XLOOKUP($C$14,_Requeridos!$A$10:$A$20,_Requeridos!$R$10:$R$20,"")="SI",X57=""),"Centro",""),IF(AND(_xlfn.XLOOKUP($C$14,_Requeridos!$A$10:$A$20,_Requeridos!$S$10:$S$20,"")="SI",Y57=""),"Código País",""),IF(AND(_xlfn.XLOOKUP($C$14,_Requeridos!$A$10:$A$20,_Requeridos!$T$10:$T$20,"")="SI",Z57=""),"Emplazamiento",""),IF(AND(_xlfn.XLOOKUP($C$14,_Requeridos!$A$10:$A$20,_Requeridos!$U$10:$U$20,"")="SI",AB57=""),"Centro de Costo",""),IF(AND(_xlfn.XLOOKUP($C$14,_Requeridos!$A$10:$A$20,_Requeridos!$V$10:$V$20,"")="SI",AC57=""),"Número de personal",""),IF(AND(_xlfn.XLOOKUP($C$14,_Requeridos!$A$10:$A$20,_Requeridos!$W$10:$W$20,"")="SI",AH57=""),"Valor Unitario","")))&gt;0,"⚠️ Faltan: "&amp;_xlfn.TEXTJOIN(", ",TRUE,IF(AND(_xlfn.XLOOKUP($C$14,_Requeridos!$A$10:$A$20,_Requeridos!$B$10:$B$20,"")="SI",C57=""),"Orden de Inversión",""),IF(AND(_xlfn.XLOOKUP($C$14,_Requeridos!$A$10:$A$20,_Requeridos!$C$10:$C$20,"")="SI",D57=""),"Elemento PEP",""),IF(AND(_xlfn.XLOOKUP($C$14,_Requeridos!$A$10:$A$20,_Requeridos!$D$10:$D$20,"")="SI",E57=""),"Pedido",""),IF(AND(_xlfn.XLOOKUP($C$14,_Requeridos!$A$10:$A$20,_Requeridos!$E$10:$E$20,"")="SI",F57=""),"Descripción Activo SAP",""),IF(AND(_xlfn.XLOOKUP($C$14,_Requeridos!$A$10:$A$20,_Requeridos!$F$10:$F$20,"")="SI",G57=""),"Clase",""),IF(AND(_xlfn.XLOOKUP($C$14,_Requeridos!$A$10:$A$20,_Requeridos!$G$10:$G$20,"")="SI",H57=""),"Cantidad",""),IF(AND(_xlfn.XLOOKUP($C$14,_Requeridos!$A$10:$A$20,_Requeridos!$H$10:$H$20,"")="SI",I57=""),"Nombre principal AF",""),IF(AND(_xlfn.XLOOKUP($C$14,_Requeridos!$A$10:$A$20,_Requeridos!$I$10:$I$20,"")="SI",L57=""),"Fabricante",""),IF(AND(_xlfn.XLOOKUP($C$14,_Requeridos!$A$10:$A$20,_Requeridos!$J$10:$J$20,"")="SI",M57=""),"Nit Proveedor",""),IF(AND(_xlfn.XLOOKUP($C$14,_Requeridos!$A$10:$A$20,_Requeridos!$K$10:$K$20,"")="SI",N57=""),"Serie",""),IF(AND(_xlfn.XLOOKUP($C$14,_Requeridos!$A$10:$A$20,_Requeridos!$L$10:$L$20,"")="SI",P57=""),"Criterio Clas. 1",""),IF(AND(_xlfn.XLOOKUP($C$14,_Requeridos!$A$10:$A$20,_Requeridos!$M$10:$M$20,"")="SI",Q57=""),"Criterio Clas. 2",""),IF(AND(_xlfn.XLOOKUP($C$14,_Requeridos!$A$10:$A$20,_Requeridos!$N$10:$N$20,"")="SI",R57=""),"Criterio Clas. 3",""),IF(AND(_xlfn.XLOOKUP($C$14,_Requeridos!$A$10:$A$20,_Requeridos!$O$10:$O$20,"")="SI",S57=""),"Criterio Clas. 4",""),IF(AND(_xlfn.XLOOKUP($C$14,_Requeridos!$A$10:$A$20,_Requeridos!$P$10:$P$20,"")="SI",T57=""),"Criterio Clas. 5",""),IF(AND(_xlfn.XLOOKUP($C$14,_Requeridos!$A$10:$A$20,_Requeridos!$Q$10:$Q$20,"")="SI",U57=""),"Ubicación técnica",""),IF(AND(_xlfn.XLOOKUP($C$14,_Requeridos!$A$10:$A$20,_Requeridos!$R$10:$R$20,"")="SI",X57=""),"Centro",""),IF(AND(_xlfn.XLOOKUP($C$14,_Requeridos!$A$10:$A$20,_Requeridos!$S$10:$S$20,"")="SI",Y57=""),"Código País",""),IF(AND(_xlfn.XLOOKUP($C$14,_Requeridos!$A$10:$A$20,_Requeridos!$T$10:$T$20,"")="SI",Z57=""),"Emplazamiento",""),IF(AND(_xlfn.XLOOKUP($C$14,_Requeridos!$A$10:$A$20,_Requeridos!$U$10:$U$20,"")="SI",AB57=""),"Centro de Costo",""),IF(AND(_xlfn.XLOOKUP($C$14,_Requeridos!$A$10:$A$20,_Requeridos!$V$10:$V$20,"")="SI",AC57=""),"Número de personal",""),IF(AND(_xlfn.XLOOKUP($C$14,_Requeridos!$A$10:$A$20,_Requeridos!$W$10:$W$20,"")="SI",AH57=""),"Valor Unitario","")),"✅ Completo"))</f>
        <v/>
      </c>
      <c r="AK57" s="52"/>
    </row>
    <row r="58" spans="1:37" s="37" customFormat="1" x14ac:dyDescent="0.35">
      <c r="A58" s="31"/>
      <c r="B58" s="56">
        <v>37</v>
      </c>
      <c r="C58" s="57"/>
      <c r="D58" s="57"/>
      <c r="E58" s="57"/>
      <c r="F58" s="57"/>
      <c r="G58" s="58" t="str">
        <f>IFERROR(_xlfn.XLOOKUP(F58,Clase!$C$2:$C$292,Clase!$B$2:$B$292,""),"")</f>
        <v/>
      </c>
      <c r="H58" s="57"/>
      <c r="I58" s="59"/>
      <c r="J58" s="57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7"/>
      <c r="AC58" s="57"/>
      <c r="AD58" s="58" t="str">
        <f>IFERROR(_xlfn.XLOOKUP(AB58,Ceco!$B$2:$B$901,Ceco!$C$2:$C$901,""),"")</f>
        <v/>
      </c>
      <c r="AE58" s="57"/>
      <c r="AF58" s="57"/>
      <c r="AG58" s="60"/>
      <c r="AH58" s="57"/>
      <c r="AI58" s="61"/>
      <c r="AJ58" s="62" t="str">
        <f>IF(COUNTA(C58,D58,E58,F58,H58,I58,L58,M58,N58,P58,Q58,R58,S58,T58,U58,X58,Y58,Z58,AB58,AC58,AH58)=0,"",IF(LEN(_xlfn.TEXTJOIN(", ",TRUE,IF(AND(_xlfn.XLOOKUP($C$14,_Requeridos!$A$10:$A$20,_Requeridos!$B$10:$B$20,"")="SI",C58=""),"Orden de Inversión",""),IF(AND(_xlfn.XLOOKUP($C$14,_Requeridos!$A$10:$A$20,_Requeridos!$C$10:$C$20,"")="SI",D58=""),"Elemento PEP",""),IF(AND(_xlfn.XLOOKUP($C$14,_Requeridos!$A$10:$A$20,_Requeridos!$D$10:$D$20,"")="SI",E58=""),"Pedido",""),IF(AND(_xlfn.XLOOKUP($C$14,_Requeridos!$A$10:$A$20,_Requeridos!$E$10:$E$20,"")="SI",F58=""),"Descripción Activo SAP",""),IF(AND(_xlfn.XLOOKUP($C$14,_Requeridos!$A$10:$A$20,_Requeridos!$F$10:$F$20,"")="SI",G58=""),"Clase",""),IF(AND(_xlfn.XLOOKUP($C$14,_Requeridos!$A$10:$A$20,_Requeridos!$G$10:$G$20,"")="SI",H58=""),"Cantidad",""),IF(AND(_xlfn.XLOOKUP($C$14,_Requeridos!$A$10:$A$20,_Requeridos!$H$10:$H$20,"")="SI",I58=""),"Nombre principal AF",""),IF(AND(_xlfn.XLOOKUP($C$14,_Requeridos!$A$10:$A$20,_Requeridos!$I$10:$I$20,"")="SI",L58=""),"Fabricante",""),IF(AND(_xlfn.XLOOKUP($C$14,_Requeridos!$A$10:$A$20,_Requeridos!$J$10:$J$20,"")="SI",M58=""),"Nit Proveedor",""),IF(AND(_xlfn.XLOOKUP($C$14,_Requeridos!$A$10:$A$20,_Requeridos!$K$10:$K$20,"")="SI",N58=""),"Serie",""),IF(AND(_xlfn.XLOOKUP($C$14,_Requeridos!$A$10:$A$20,_Requeridos!$L$10:$L$20,"")="SI",P58=""),"Criterio Clas. 1",""),IF(AND(_xlfn.XLOOKUP($C$14,_Requeridos!$A$10:$A$20,_Requeridos!$M$10:$M$20,"")="SI",Q58=""),"Criterio Clas. 2",""),IF(AND(_xlfn.XLOOKUP($C$14,_Requeridos!$A$10:$A$20,_Requeridos!$N$10:$N$20,"")="SI",R58=""),"Criterio Clas. 3",""),IF(AND(_xlfn.XLOOKUP($C$14,_Requeridos!$A$10:$A$20,_Requeridos!$O$10:$O$20,"")="SI",S58=""),"Criterio Clas. 4",""),IF(AND(_xlfn.XLOOKUP($C$14,_Requeridos!$A$10:$A$20,_Requeridos!$P$10:$P$20,"")="SI",T58=""),"Criterio Clas. 5",""),IF(AND(_xlfn.XLOOKUP($C$14,_Requeridos!$A$10:$A$20,_Requeridos!$Q$10:$Q$20,"")="SI",U58=""),"Ubicación técnica",""),IF(AND(_xlfn.XLOOKUP($C$14,_Requeridos!$A$10:$A$20,_Requeridos!$R$10:$R$20,"")="SI",X58=""),"Centro",""),IF(AND(_xlfn.XLOOKUP($C$14,_Requeridos!$A$10:$A$20,_Requeridos!$S$10:$S$20,"")="SI",Y58=""),"Código País",""),IF(AND(_xlfn.XLOOKUP($C$14,_Requeridos!$A$10:$A$20,_Requeridos!$T$10:$T$20,"")="SI",Z58=""),"Emplazamiento",""),IF(AND(_xlfn.XLOOKUP($C$14,_Requeridos!$A$10:$A$20,_Requeridos!$U$10:$U$20,"")="SI",AB58=""),"Centro de Costo",""),IF(AND(_xlfn.XLOOKUP($C$14,_Requeridos!$A$10:$A$20,_Requeridos!$V$10:$V$20,"")="SI",AC58=""),"Número de personal",""),IF(AND(_xlfn.XLOOKUP($C$14,_Requeridos!$A$10:$A$20,_Requeridos!$W$10:$W$20,"")="SI",AH58=""),"Valor Unitario","")))&gt;0,"⚠️ Faltan: "&amp;_xlfn.TEXTJOIN(", ",TRUE,IF(AND(_xlfn.XLOOKUP($C$14,_Requeridos!$A$10:$A$20,_Requeridos!$B$10:$B$20,"")="SI",C58=""),"Orden de Inversión",""),IF(AND(_xlfn.XLOOKUP($C$14,_Requeridos!$A$10:$A$20,_Requeridos!$C$10:$C$20,"")="SI",D58=""),"Elemento PEP",""),IF(AND(_xlfn.XLOOKUP($C$14,_Requeridos!$A$10:$A$20,_Requeridos!$D$10:$D$20,"")="SI",E58=""),"Pedido",""),IF(AND(_xlfn.XLOOKUP($C$14,_Requeridos!$A$10:$A$20,_Requeridos!$E$10:$E$20,"")="SI",F58=""),"Descripción Activo SAP",""),IF(AND(_xlfn.XLOOKUP($C$14,_Requeridos!$A$10:$A$20,_Requeridos!$F$10:$F$20,"")="SI",G58=""),"Clase",""),IF(AND(_xlfn.XLOOKUP($C$14,_Requeridos!$A$10:$A$20,_Requeridos!$G$10:$G$20,"")="SI",H58=""),"Cantidad",""),IF(AND(_xlfn.XLOOKUP($C$14,_Requeridos!$A$10:$A$20,_Requeridos!$H$10:$H$20,"")="SI",I58=""),"Nombre principal AF",""),IF(AND(_xlfn.XLOOKUP($C$14,_Requeridos!$A$10:$A$20,_Requeridos!$I$10:$I$20,"")="SI",L58=""),"Fabricante",""),IF(AND(_xlfn.XLOOKUP($C$14,_Requeridos!$A$10:$A$20,_Requeridos!$J$10:$J$20,"")="SI",M58=""),"Nit Proveedor",""),IF(AND(_xlfn.XLOOKUP($C$14,_Requeridos!$A$10:$A$20,_Requeridos!$K$10:$K$20,"")="SI",N58=""),"Serie",""),IF(AND(_xlfn.XLOOKUP($C$14,_Requeridos!$A$10:$A$20,_Requeridos!$L$10:$L$20,"")="SI",P58=""),"Criterio Clas. 1",""),IF(AND(_xlfn.XLOOKUP($C$14,_Requeridos!$A$10:$A$20,_Requeridos!$M$10:$M$20,"")="SI",Q58=""),"Criterio Clas. 2",""),IF(AND(_xlfn.XLOOKUP($C$14,_Requeridos!$A$10:$A$20,_Requeridos!$N$10:$N$20,"")="SI",R58=""),"Criterio Clas. 3",""),IF(AND(_xlfn.XLOOKUP($C$14,_Requeridos!$A$10:$A$20,_Requeridos!$O$10:$O$20,"")="SI",S58=""),"Criterio Clas. 4",""),IF(AND(_xlfn.XLOOKUP($C$14,_Requeridos!$A$10:$A$20,_Requeridos!$P$10:$P$20,"")="SI",T58=""),"Criterio Clas. 5",""),IF(AND(_xlfn.XLOOKUP($C$14,_Requeridos!$A$10:$A$20,_Requeridos!$Q$10:$Q$20,"")="SI",U58=""),"Ubicación técnica",""),IF(AND(_xlfn.XLOOKUP($C$14,_Requeridos!$A$10:$A$20,_Requeridos!$R$10:$R$20,"")="SI",X58=""),"Centro",""),IF(AND(_xlfn.XLOOKUP($C$14,_Requeridos!$A$10:$A$20,_Requeridos!$S$10:$S$20,"")="SI",Y58=""),"Código País",""),IF(AND(_xlfn.XLOOKUP($C$14,_Requeridos!$A$10:$A$20,_Requeridos!$T$10:$T$20,"")="SI",Z58=""),"Emplazamiento",""),IF(AND(_xlfn.XLOOKUP($C$14,_Requeridos!$A$10:$A$20,_Requeridos!$U$10:$U$20,"")="SI",AB58=""),"Centro de Costo",""),IF(AND(_xlfn.XLOOKUP($C$14,_Requeridos!$A$10:$A$20,_Requeridos!$V$10:$V$20,"")="SI",AC58=""),"Número de personal",""),IF(AND(_xlfn.XLOOKUP($C$14,_Requeridos!$A$10:$A$20,_Requeridos!$W$10:$W$20,"")="SI",AH58=""),"Valor Unitario","")),"✅ Completo"))</f>
        <v/>
      </c>
      <c r="AK58" s="52"/>
    </row>
    <row r="59" spans="1:37" s="37" customFormat="1" x14ac:dyDescent="0.35">
      <c r="A59" s="31"/>
      <c r="B59" s="56">
        <v>38</v>
      </c>
      <c r="C59" s="57"/>
      <c r="D59" s="57"/>
      <c r="E59" s="57"/>
      <c r="F59" s="57"/>
      <c r="G59" s="58" t="str">
        <f>IFERROR(_xlfn.XLOOKUP(F59,Clase!$C$2:$C$292,Clase!$B$2:$B$292,""),"")</f>
        <v/>
      </c>
      <c r="H59" s="57"/>
      <c r="I59" s="59"/>
      <c r="J59" s="57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7"/>
      <c r="AC59" s="57"/>
      <c r="AD59" s="58" t="str">
        <f>IFERROR(_xlfn.XLOOKUP(AB59,Ceco!$B$2:$B$901,Ceco!$C$2:$C$901,""),"")</f>
        <v/>
      </c>
      <c r="AE59" s="57"/>
      <c r="AF59" s="57"/>
      <c r="AG59" s="60"/>
      <c r="AH59" s="57"/>
      <c r="AI59" s="61"/>
      <c r="AJ59" s="62" t="str">
        <f>IF(COUNTA(C59,D59,E59,F59,H59,I59,L59,M59,N59,P59,Q59,R59,S59,T59,U59,X59,Y59,Z59,AB59,AC59,AH59)=0,"",IF(LEN(_xlfn.TEXTJOIN(", ",TRUE,IF(AND(_xlfn.XLOOKUP($C$14,_Requeridos!$A$10:$A$20,_Requeridos!$B$10:$B$20,"")="SI",C59=""),"Orden de Inversión",""),IF(AND(_xlfn.XLOOKUP($C$14,_Requeridos!$A$10:$A$20,_Requeridos!$C$10:$C$20,"")="SI",D59=""),"Elemento PEP",""),IF(AND(_xlfn.XLOOKUP($C$14,_Requeridos!$A$10:$A$20,_Requeridos!$D$10:$D$20,"")="SI",E59=""),"Pedido",""),IF(AND(_xlfn.XLOOKUP($C$14,_Requeridos!$A$10:$A$20,_Requeridos!$E$10:$E$20,"")="SI",F59=""),"Descripción Activo SAP",""),IF(AND(_xlfn.XLOOKUP($C$14,_Requeridos!$A$10:$A$20,_Requeridos!$F$10:$F$20,"")="SI",G59=""),"Clase",""),IF(AND(_xlfn.XLOOKUP($C$14,_Requeridos!$A$10:$A$20,_Requeridos!$G$10:$G$20,"")="SI",H59=""),"Cantidad",""),IF(AND(_xlfn.XLOOKUP($C$14,_Requeridos!$A$10:$A$20,_Requeridos!$H$10:$H$20,"")="SI",I59=""),"Nombre principal AF",""),IF(AND(_xlfn.XLOOKUP($C$14,_Requeridos!$A$10:$A$20,_Requeridos!$I$10:$I$20,"")="SI",L59=""),"Fabricante",""),IF(AND(_xlfn.XLOOKUP($C$14,_Requeridos!$A$10:$A$20,_Requeridos!$J$10:$J$20,"")="SI",M59=""),"Nit Proveedor",""),IF(AND(_xlfn.XLOOKUP($C$14,_Requeridos!$A$10:$A$20,_Requeridos!$K$10:$K$20,"")="SI",N59=""),"Serie",""),IF(AND(_xlfn.XLOOKUP($C$14,_Requeridos!$A$10:$A$20,_Requeridos!$L$10:$L$20,"")="SI",P59=""),"Criterio Clas. 1",""),IF(AND(_xlfn.XLOOKUP($C$14,_Requeridos!$A$10:$A$20,_Requeridos!$M$10:$M$20,"")="SI",Q59=""),"Criterio Clas. 2",""),IF(AND(_xlfn.XLOOKUP($C$14,_Requeridos!$A$10:$A$20,_Requeridos!$N$10:$N$20,"")="SI",R59=""),"Criterio Clas. 3",""),IF(AND(_xlfn.XLOOKUP($C$14,_Requeridos!$A$10:$A$20,_Requeridos!$O$10:$O$20,"")="SI",S59=""),"Criterio Clas. 4",""),IF(AND(_xlfn.XLOOKUP($C$14,_Requeridos!$A$10:$A$20,_Requeridos!$P$10:$P$20,"")="SI",T59=""),"Criterio Clas. 5",""),IF(AND(_xlfn.XLOOKUP($C$14,_Requeridos!$A$10:$A$20,_Requeridos!$Q$10:$Q$20,"")="SI",U59=""),"Ubicación técnica",""),IF(AND(_xlfn.XLOOKUP($C$14,_Requeridos!$A$10:$A$20,_Requeridos!$R$10:$R$20,"")="SI",X59=""),"Centro",""),IF(AND(_xlfn.XLOOKUP($C$14,_Requeridos!$A$10:$A$20,_Requeridos!$S$10:$S$20,"")="SI",Y59=""),"Código País",""),IF(AND(_xlfn.XLOOKUP($C$14,_Requeridos!$A$10:$A$20,_Requeridos!$T$10:$T$20,"")="SI",Z59=""),"Emplazamiento",""),IF(AND(_xlfn.XLOOKUP($C$14,_Requeridos!$A$10:$A$20,_Requeridos!$U$10:$U$20,"")="SI",AB59=""),"Centro de Costo",""),IF(AND(_xlfn.XLOOKUP($C$14,_Requeridos!$A$10:$A$20,_Requeridos!$V$10:$V$20,"")="SI",AC59=""),"Número de personal",""),IF(AND(_xlfn.XLOOKUP($C$14,_Requeridos!$A$10:$A$20,_Requeridos!$W$10:$W$20,"")="SI",AH59=""),"Valor Unitario","")))&gt;0,"⚠️ Faltan: "&amp;_xlfn.TEXTJOIN(", ",TRUE,IF(AND(_xlfn.XLOOKUP($C$14,_Requeridos!$A$10:$A$20,_Requeridos!$B$10:$B$20,"")="SI",C59=""),"Orden de Inversión",""),IF(AND(_xlfn.XLOOKUP($C$14,_Requeridos!$A$10:$A$20,_Requeridos!$C$10:$C$20,"")="SI",D59=""),"Elemento PEP",""),IF(AND(_xlfn.XLOOKUP($C$14,_Requeridos!$A$10:$A$20,_Requeridos!$D$10:$D$20,"")="SI",E59=""),"Pedido",""),IF(AND(_xlfn.XLOOKUP($C$14,_Requeridos!$A$10:$A$20,_Requeridos!$E$10:$E$20,"")="SI",F59=""),"Descripción Activo SAP",""),IF(AND(_xlfn.XLOOKUP($C$14,_Requeridos!$A$10:$A$20,_Requeridos!$F$10:$F$20,"")="SI",G59=""),"Clase",""),IF(AND(_xlfn.XLOOKUP($C$14,_Requeridos!$A$10:$A$20,_Requeridos!$G$10:$G$20,"")="SI",H59=""),"Cantidad",""),IF(AND(_xlfn.XLOOKUP($C$14,_Requeridos!$A$10:$A$20,_Requeridos!$H$10:$H$20,"")="SI",I59=""),"Nombre principal AF",""),IF(AND(_xlfn.XLOOKUP($C$14,_Requeridos!$A$10:$A$20,_Requeridos!$I$10:$I$20,"")="SI",L59=""),"Fabricante",""),IF(AND(_xlfn.XLOOKUP($C$14,_Requeridos!$A$10:$A$20,_Requeridos!$J$10:$J$20,"")="SI",M59=""),"Nit Proveedor",""),IF(AND(_xlfn.XLOOKUP($C$14,_Requeridos!$A$10:$A$20,_Requeridos!$K$10:$K$20,"")="SI",N59=""),"Serie",""),IF(AND(_xlfn.XLOOKUP($C$14,_Requeridos!$A$10:$A$20,_Requeridos!$L$10:$L$20,"")="SI",P59=""),"Criterio Clas. 1",""),IF(AND(_xlfn.XLOOKUP($C$14,_Requeridos!$A$10:$A$20,_Requeridos!$M$10:$M$20,"")="SI",Q59=""),"Criterio Clas. 2",""),IF(AND(_xlfn.XLOOKUP($C$14,_Requeridos!$A$10:$A$20,_Requeridos!$N$10:$N$20,"")="SI",R59=""),"Criterio Clas. 3",""),IF(AND(_xlfn.XLOOKUP($C$14,_Requeridos!$A$10:$A$20,_Requeridos!$O$10:$O$20,"")="SI",S59=""),"Criterio Clas. 4",""),IF(AND(_xlfn.XLOOKUP($C$14,_Requeridos!$A$10:$A$20,_Requeridos!$P$10:$P$20,"")="SI",T59=""),"Criterio Clas. 5",""),IF(AND(_xlfn.XLOOKUP($C$14,_Requeridos!$A$10:$A$20,_Requeridos!$Q$10:$Q$20,"")="SI",U59=""),"Ubicación técnica",""),IF(AND(_xlfn.XLOOKUP($C$14,_Requeridos!$A$10:$A$20,_Requeridos!$R$10:$R$20,"")="SI",X59=""),"Centro",""),IF(AND(_xlfn.XLOOKUP($C$14,_Requeridos!$A$10:$A$20,_Requeridos!$S$10:$S$20,"")="SI",Y59=""),"Código País",""),IF(AND(_xlfn.XLOOKUP($C$14,_Requeridos!$A$10:$A$20,_Requeridos!$T$10:$T$20,"")="SI",Z59=""),"Emplazamiento",""),IF(AND(_xlfn.XLOOKUP($C$14,_Requeridos!$A$10:$A$20,_Requeridos!$U$10:$U$20,"")="SI",AB59=""),"Centro de Costo",""),IF(AND(_xlfn.XLOOKUP($C$14,_Requeridos!$A$10:$A$20,_Requeridos!$V$10:$V$20,"")="SI",AC59=""),"Número de personal",""),IF(AND(_xlfn.XLOOKUP($C$14,_Requeridos!$A$10:$A$20,_Requeridos!$W$10:$W$20,"")="SI",AH59=""),"Valor Unitario","")),"✅ Completo"))</f>
        <v/>
      </c>
      <c r="AK59" s="52"/>
    </row>
    <row r="60" spans="1:37" s="37" customFormat="1" x14ac:dyDescent="0.35">
      <c r="A60" s="31"/>
      <c r="B60" s="56">
        <v>39</v>
      </c>
      <c r="C60" s="57"/>
      <c r="D60" s="57"/>
      <c r="E60" s="57"/>
      <c r="F60" s="57"/>
      <c r="G60" s="58" t="str">
        <f>IFERROR(_xlfn.XLOOKUP(F60,Clase!$C$2:$C$292,Clase!$B$2:$B$292,""),"")</f>
        <v/>
      </c>
      <c r="H60" s="57"/>
      <c r="I60" s="59"/>
      <c r="J60" s="57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7"/>
      <c r="AC60" s="57"/>
      <c r="AD60" s="58" t="str">
        <f>IFERROR(_xlfn.XLOOKUP(AB60,Ceco!$B$2:$B$901,Ceco!$C$2:$C$901,""),"")</f>
        <v/>
      </c>
      <c r="AE60" s="57"/>
      <c r="AF60" s="57"/>
      <c r="AG60" s="60"/>
      <c r="AH60" s="57"/>
      <c r="AI60" s="61"/>
      <c r="AJ60" s="62" t="str">
        <f>IF(COUNTA(C60,D60,E60,F60,H60,I60,L60,M60,N60,P60,Q60,R60,S60,T60,U60,X60,Y60,Z60,AB60,AC60,AH60)=0,"",IF(LEN(_xlfn.TEXTJOIN(", ",TRUE,IF(AND(_xlfn.XLOOKUP($C$14,_Requeridos!$A$10:$A$20,_Requeridos!$B$10:$B$20,"")="SI",C60=""),"Orden de Inversión",""),IF(AND(_xlfn.XLOOKUP($C$14,_Requeridos!$A$10:$A$20,_Requeridos!$C$10:$C$20,"")="SI",D60=""),"Elemento PEP",""),IF(AND(_xlfn.XLOOKUP($C$14,_Requeridos!$A$10:$A$20,_Requeridos!$D$10:$D$20,"")="SI",E60=""),"Pedido",""),IF(AND(_xlfn.XLOOKUP($C$14,_Requeridos!$A$10:$A$20,_Requeridos!$E$10:$E$20,"")="SI",F60=""),"Descripción Activo SAP",""),IF(AND(_xlfn.XLOOKUP($C$14,_Requeridos!$A$10:$A$20,_Requeridos!$F$10:$F$20,"")="SI",G60=""),"Clase",""),IF(AND(_xlfn.XLOOKUP($C$14,_Requeridos!$A$10:$A$20,_Requeridos!$G$10:$G$20,"")="SI",H60=""),"Cantidad",""),IF(AND(_xlfn.XLOOKUP($C$14,_Requeridos!$A$10:$A$20,_Requeridos!$H$10:$H$20,"")="SI",I60=""),"Nombre principal AF",""),IF(AND(_xlfn.XLOOKUP($C$14,_Requeridos!$A$10:$A$20,_Requeridos!$I$10:$I$20,"")="SI",L60=""),"Fabricante",""),IF(AND(_xlfn.XLOOKUP($C$14,_Requeridos!$A$10:$A$20,_Requeridos!$J$10:$J$20,"")="SI",M60=""),"Nit Proveedor",""),IF(AND(_xlfn.XLOOKUP($C$14,_Requeridos!$A$10:$A$20,_Requeridos!$K$10:$K$20,"")="SI",N60=""),"Serie",""),IF(AND(_xlfn.XLOOKUP($C$14,_Requeridos!$A$10:$A$20,_Requeridos!$L$10:$L$20,"")="SI",P60=""),"Criterio Clas. 1",""),IF(AND(_xlfn.XLOOKUP($C$14,_Requeridos!$A$10:$A$20,_Requeridos!$M$10:$M$20,"")="SI",Q60=""),"Criterio Clas. 2",""),IF(AND(_xlfn.XLOOKUP($C$14,_Requeridos!$A$10:$A$20,_Requeridos!$N$10:$N$20,"")="SI",R60=""),"Criterio Clas. 3",""),IF(AND(_xlfn.XLOOKUP($C$14,_Requeridos!$A$10:$A$20,_Requeridos!$O$10:$O$20,"")="SI",S60=""),"Criterio Clas. 4",""),IF(AND(_xlfn.XLOOKUP($C$14,_Requeridos!$A$10:$A$20,_Requeridos!$P$10:$P$20,"")="SI",T60=""),"Criterio Clas. 5",""),IF(AND(_xlfn.XLOOKUP($C$14,_Requeridos!$A$10:$A$20,_Requeridos!$Q$10:$Q$20,"")="SI",U60=""),"Ubicación técnica",""),IF(AND(_xlfn.XLOOKUP($C$14,_Requeridos!$A$10:$A$20,_Requeridos!$R$10:$R$20,"")="SI",X60=""),"Centro",""),IF(AND(_xlfn.XLOOKUP($C$14,_Requeridos!$A$10:$A$20,_Requeridos!$S$10:$S$20,"")="SI",Y60=""),"Código País",""),IF(AND(_xlfn.XLOOKUP($C$14,_Requeridos!$A$10:$A$20,_Requeridos!$T$10:$T$20,"")="SI",Z60=""),"Emplazamiento",""),IF(AND(_xlfn.XLOOKUP($C$14,_Requeridos!$A$10:$A$20,_Requeridos!$U$10:$U$20,"")="SI",AB60=""),"Centro de Costo",""),IF(AND(_xlfn.XLOOKUP($C$14,_Requeridos!$A$10:$A$20,_Requeridos!$V$10:$V$20,"")="SI",AC60=""),"Número de personal",""),IF(AND(_xlfn.XLOOKUP($C$14,_Requeridos!$A$10:$A$20,_Requeridos!$W$10:$W$20,"")="SI",AH60=""),"Valor Unitario","")))&gt;0,"⚠️ Faltan: "&amp;_xlfn.TEXTJOIN(", ",TRUE,IF(AND(_xlfn.XLOOKUP($C$14,_Requeridos!$A$10:$A$20,_Requeridos!$B$10:$B$20,"")="SI",C60=""),"Orden de Inversión",""),IF(AND(_xlfn.XLOOKUP($C$14,_Requeridos!$A$10:$A$20,_Requeridos!$C$10:$C$20,"")="SI",D60=""),"Elemento PEP",""),IF(AND(_xlfn.XLOOKUP($C$14,_Requeridos!$A$10:$A$20,_Requeridos!$D$10:$D$20,"")="SI",E60=""),"Pedido",""),IF(AND(_xlfn.XLOOKUP($C$14,_Requeridos!$A$10:$A$20,_Requeridos!$E$10:$E$20,"")="SI",F60=""),"Descripción Activo SAP",""),IF(AND(_xlfn.XLOOKUP($C$14,_Requeridos!$A$10:$A$20,_Requeridos!$F$10:$F$20,"")="SI",G60=""),"Clase",""),IF(AND(_xlfn.XLOOKUP($C$14,_Requeridos!$A$10:$A$20,_Requeridos!$G$10:$G$20,"")="SI",H60=""),"Cantidad",""),IF(AND(_xlfn.XLOOKUP($C$14,_Requeridos!$A$10:$A$20,_Requeridos!$H$10:$H$20,"")="SI",I60=""),"Nombre principal AF",""),IF(AND(_xlfn.XLOOKUP($C$14,_Requeridos!$A$10:$A$20,_Requeridos!$I$10:$I$20,"")="SI",L60=""),"Fabricante",""),IF(AND(_xlfn.XLOOKUP($C$14,_Requeridos!$A$10:$A$20,_Requeridos!$J$10:$J$20,"")="SI",M60=""),"Nit Proveedor",""),IF(AND(_xlfn.XLOOKUP($C$14,_Requeridos!$A$10:$A$20,_Requeridos!$K$10:$K$20,"")="SI",N60=""),"Serie",""),IF(AND(_xlfn.XLOOKUP($C$14,_Requeridos!$A$10:$A$20,_Requeridos!$L$10:$L$20,"")="SI",P60=""),"Criterio Clas. 1",""),IF(AND(_xlfn.XLOOKUP($C$14,_Requeridos!$A$10:$A$20,_Requeridos!$M$10:$M$20,"")="SI",Q60=""),"Criterio Clas. 2",""),IF(AND(_xlfn.XLOOKUP($C$14,_Requeridos!$A$10:$A$20,_Requeridos!$N$10:$N$20,"")="SI",R60=""),"Criterio Clas. 3",""),IF(AND(_xlfn.XLOOKUP($C$14,_Requeridos!$A$10:$A$20,_Requeridos!$O$10:$O$20,"")="SI",S60=""),"Criterio Clas. 4",""),IF(AND(_xlfn.XLOOKUP($C$14,_Requeridos!$A$10:$A$20,_Requeridos!$P$10:$P$20,"")="SI",T60=""),"Criterio Clas. 5",""),IF(AND(_xlfn.XLOOKUP($C$14,_Requeridos!$A$10:$A$20,_Requeridos!$Q$10:$Q$20,"")="SI",U60=""),"Ubicación técnica",""),IF(AND(_xlfn.XLOOKUP($C$14,_Requeridos!$A$10:$A$20,_Requeridos!$R$10:$R$20,"")="SI",X60=""),"Centro",""),IF(AND(_xlfn.XLOOKUP($C$14,_Requeridos!$A$10:$A$20,_Requeridos!$S$10:$S$20,"")="SI",Y60=""),"Código País",""),IF(AND(_xlfn.XLOOKUP($C$14,_Requeridos!$A$10:$A$20,_Requeridos!$T$10:$T$20,"")="SI",Z60=""),"Emplazamiento",""),IF(AND(_xlfn.XLOOKUP($C$14,_Requeridos!$A$10:$A$20,_Requeridos!$U$10:$U$20,"")="SI",AB60=""),"Centro de Costo",""),IF(AND(_xlfn.XLOOKUP($C$14,_Requeridos!$A$10:$A$20,_Requeridos!$V$10:$V$20,"")="SI",AC60=""),"Número de personal",""),IF(AND(_xlfn.XLOOKUP($C$14,_Requeridos!$A$10:$A$20,_Requeridos!$W$10:$W$20,"")="SI",AH60=""),"Valor Unitario","")),"✅ Completo"))</f>
        <v/>
      </c>
      <c r="AK60" s="52"/>
    </row>
    <row r="61" spans="1:37" s="37" customFormat="1" x14ac:dyDescent="0.35">
      <c r="A61" s="31"/>
      <c r="B61" s="56">
        <v>40</v>
      </c>
      <c r="C61" s="57"/>
      <c r="D61" s="57"/>
      <c r="E61" s="57"/>
      <c r="F61" s="57"/>
      <c r="G61" s="58" t="str">
        <f>IFERROR(_xlfn.XLOOKUP(F61,Clase!$C$2:$C$292,Clase!$B$2:$B$292,""),"")</f>
        <v/>
      </c>
      <c r="H61" s="57"/>
      <c r="I61" s="59"/>
      <c r="J61" s="57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7"/>
      <c r="AC61" s="57"/>
      <c r="AD61" s="58" t="str">
        <f>IFERROR(_xlfn.XLOOKUP(AB61,Ceco!$B$2:$B$901,Ceco!$C$2:$C$901,""),"")</f>
        <v/>
      </c>
      <c r="AE61" s="57"/>
      <c r="AF61" s="57"/>
      <c r="AG61" s="60"/>
      <c r="AH61" s="57"/>
      <c r="AI61" s="61"/>
      <c r="AJ61" s="62" t="str">
        <f>IF(COUNTA(C61,D61,E61,F61,H61,I61,L61,M61,N61,P61,Q61,R61,S61,T61,U61,X61,Y61,Z61,AB61,AC61,AH61)=0,"",IF(LEN(_xlfn.TEXTJOIN(", ",TRUE,IF(AND(_xlfn.XLOOKUP($C$14,_Requeridos!$A$10:$A$20,_Requeridos!$B$10:$B$20,"")="SI",C61=""),"Orden de Inversión",""),IF(AND(_xlfn.XLOOKUP($C$14,_Requeridos!$A$10:$A$20,_Requeridos!$C$10:$C$20,"")="SI",D61=""),"Elemento PEP",""),IF(AND(_xlfn.XLOOKUP($C$14,_Requeridos!$A$10:$A$20,_Requeridos!$D$10:$D$20,"")="SI",E61=""),"Pedido",""),IF(AND(_xlfn.XLOOKUP($C$14,_Requeridos!$A$10:$A$20,_Requeridos!$E$10:$E$20,"")="SI",F61=""),"Descripción Activo SAP",""),IF(AND(_xlfn.XLOOKUP($C$14,_Requeridos!$A$10:$A$20,_Requeridos!$F$10:$F$20,"")="SI",G61=""),"Clase",""),IF(AND(_xlfn.XLOOKUP($C$14,_Requeridos!$A$10:$A$20,_Requeridos!$G$10:$G$20,"")="SI",H61=""),"Cantidad",""),IF(AND(_xlfn.XLOOKUP($C$14,_Requeridos!$A$10:$A$20,_Requeridos!$H$10:$H$20,"")="SI",I61=""),"Nombre principal AF",""),IF(AND(_xlfn.XLOOKUP($C$14,_Requeridos!$A$10:$A$20,_Requeridos!$I$10:$I$20,"")="SI",L61=""),"Fabricante",""),IF(AND(_xlfn.XLOOKUP($C$14,_Requeridos!$A$10:$A$20,_Requeridos!$J$10:$J$20,"")="SI",M61=""),"Nit Proveedor",""),IF(AND(_xlfn.XLOOKUP($C$14,_Requeridos!$A$10:$A$20,_Requeridos!$K$10:$K$20,"")="SI",N61=""),"Serie",""),IF(AND(_xlfn.XLOOKUP($C$14,_Requeridos!$A$10:$A$20,_Requeridos!$L$10:$L$20,"")="SI",P61=""),"Criterio Clas. 1",""),IF(AND(_xlfn.XLOOKUP($C$14,_Requeridos!$A$10:$A$20,_Requeridos!$M$10:$M$20,"")="SI",Q61=""),"Criterio Clas. 2",""),IF(AND(_xlfn.XLOOKUP($C$14,_Requeridos!$A$10:$A$20,_Requeridos!$N$10:$N$20,"")="SI",R61=""),"Criterio Clas. 3",""),IF(AND(_xlfn.XLOOKUP($C$14,_Requeridos!$A$10:$A$20,_Requeridos!$O$10:$O$20,"")="SI",S61=""),"Criterio Clas. 4",""),IF(AND(_xlfn.XLOOKUP($C$14,_Requeridos!$A$10:$A$20,_Requeridos!$P$10:$P$20,"")="SI",T61=""),"Criterio Clas. 5",""),IF(AND(_xlfn.XLOOKUP($C$14,_Requeridos!$A$10:$A$20,_Requeridos!$Q$10:$Q$20,"")="SI",U61=""),"Ubicación técnica",""),IF(AND(_xlfn.XLOOKUP($C$14,_Requeridos!$A$10:$A$20,_Requeridos!$R$10:$R$20,"")="SI",X61=""),"Centro",""),IF(AND(_xlfn.XLOOKUP($C$14,_Requeridos!$A$10:$A$20,_Requeridos!$S$10:$S$20,"")="SI",Y61=""),"Código País",""),IF(AND(_xlfn.XLOOKUP($C$14,_Requeridos!$A$10:$A$20,_Requeridos!$T$10:$T$20,"")="SI",Z61=""),"Emplazamiento",""),IF(AND(_xlfn.XLOOKUP($C$14,_Requeridos!$A$10:$A$20,_Requeridos!$U$10:$U$20,"")="SI",AB61=""),"Centro de Costo",""),IF(AND(_xlfn.XLOOKUP($C$14,_Requeridos!$A$10:$A$20,_Requeridos!$V$10:$V$20,"")="SI",AC61=""),"Número de personal",""),IF(AND(_xlfn.XLOOKUP($C$14,_Requeridos!$A$10:$A$20,_Requeridos!$W$10:$W$20,"")="SI",AH61=""),"Valor Unitario","")))&gt;0,"⚠️ Faltan: "&amp;_xlfn.TEXTJOIN(", ",TRUE,IF(AND(_xlfn.XLOOKUP($C$14,_Requeridos!$A$10:$A$20,_Requeridos!$B$10:$B$20,"")="SI",C61=""),"Orden de Inversión",""),IF(AND(_xlfn.XLOOKUP($C$14,_Requeridos!$A$10:$A$20,_Requeridos!$C$10:$C$20,"")="SI",D61=""),"Elemento PEP",""),IF(AND(_xlfn.XLOOKUP($C$14,_Requeridos!$A$10:$A$20,_Requeridos!$D$10:$D$20,"")="SI",E61=""),"Pedido",""),IF(AND(_xlfn.XLOOKUP($C$14,_Requeridos!$A$10:$A$20,_Requeridos!$E$10:$E$20,"")="SI",F61=""),"Descripción Activo SAP",""),IF(AND(_xlfn.XLOOKUP($C$14,_Requeridos!$A$10:$A$20,_Requeridos!$F$10:$F$20,"")="SI",G61=""),"Clase",""),IF(AND(_xlfn.XLOOKUP($C$14,_Requeridos!$A$10:$A$20,_Requeridos!$G$10:$G$20,"")="SI",H61=""),"Cantidad",""),IF(AND(_xlfn.XLOOKUP($C$14,_Requeridos!$A$10:$A$20,_Requeridos!$H$10:$H$20,"")="SI",I61=""),"Nombre principal AF",""),IF(AND(_xlfn.XLOOKUP($C$14,_Requeridos!$A$10:$A$20,_Requeridos!$I$10:$I$20,"")="SI",L61=""),"Fabricante",""),IF(AND(_xlfn.XLOOKUP($C$14,_Requeridos!$A$10:$A$20,_Requeridos!$J$10:$J$20,"")="SI",M61=""),"Nit Proveedor",""),IF(AND(_xlfn.XLOOKUP($C$14,_Requeridos!$A$10:$A$20,_Requeridos!$K$10:$K$20,"")="SI",N61=""),"Serie",""),IF(AND(_xlfn.XLOOKUP($C$14,_Requeridos!$A$10:$A$20,_Requeridos!$L$10:$L$20,"")="SI",P61=""),"Criterio Clas. 1",""),IF(AND(_xlfn.XLOOKUP($C$14,_Requeridos!$A$10:$A$20,_Requeridos!$M$10:$M$20,"")="SI",Q61=""),"Criterio Clas. 2",""),IF(AND(_xlfn.XLOOKUP($C$14,_Requeridos!$A$10:$A$20,_Requeridos!$N$10:$N$20,"")="SI",R61=""),"Criterio Clas. 3",""),IF(AND(_xlfn.XLOOKUP($C$14,_Requeridos!$A$10:$A$20,_Requeridos!$O$10:$O$20,"")="SI",S61=""),"Criterio Clas. 4",""),IF(AND(_xlfn.XLOOKUP($C$14,_Requeridos!$A$10:$A$20,_Requeridos!$P$10:$P$20,"")="SI",T61=""),"Criterio Clas. 5",""),IF(AND(_xlfn.XLOOKUP($C$14,_Requeridos!$A$10:$A$20,_Requeridos!$Q$10:$Q$20,"")="SI",U61=""),"Ubicación técnica",""),IF(AND(_xlfn.XLOOKUP($C$14,_Requeridos!$A$10:$A$20,_Requeridos!$R$10:$R$20,"")="SI",X61=""),"Centro",""),IF(AND(_xlfn.XLOOKUP($C$14,_Requeridos!$A$10:$A$20,_Requeridos!$S$10:$S$20,"")="SI",Y61=""),"Código País",""),IF(AND(_xlfn.XLOOKUP($C$14,_Requeridos!$A$10:$A$20,_Requeridos!$T$10:$T$20,"")="SI",Z61=""),"Emplazamiento",""),IF(AND(_xlfn.XLOOKUP($C$14,_Requeridos!$A$10:$A$20,_Requeridos!$U$10:$U$20,"")="SI",AB61=""),"Centro de Costo",""),IF(AND(_xlfn.XLOOKUP($C$14,_Requeridos!$A$10:$A$20,_Requeridos!$V$10:$V$20,"")="SI",AC61=""),"Número de personal",""),IF(AND(_xlfn.XLOOKUP($C$14,_Requeridos!$A$10:$A$20,_Requeridos!$W$10:$W$20,"")="SI",AH61=""),"Valor Unitario","")),"✅ Completo"))</f>
        <v/>
      </c>
      <c r="AK61" s="52"/>
    </row>
    <row r="62" spans="1:37" s="37" customFormat="1" x14ac:dyDescent="0.35">
      <c r="A62" s="31"/>
      <c r="B62" s="56">
        <v>41</v>
      </c>
      <c r="C62" s="57"/>
      <c r="D62" s="57"/>
      <c r="E62" s="57"/>
      <c r="F62" s="57"/>
      <c r="G62" s="58" t="str">
        <f>IFERROR(_xlfn.XLOOKUP(F62,Clase!$C$2:$C$292,Clase!$B$2:$B$292,""),"")</f>
        <v/>
      </c>
      <c r="H62" s="57"/>
      <c r="I62" s="59"/>
      <c r="J62" s="57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7"/>
      <c r="AC62" s="57"/>
      <c r="AD62" s="58" t="str">
        <f>IFERROR(_xlfn.XLOOKUP(AB62,Ceco!$B$2:$B$901,Ceco!$C$2:$C$901,""),"")</f>
        <v/>
      </c>
      <c r="AE62" s="57"/>
      <c r="AF62" s="57"/>
      <c r="AG62" s="60"/>
      <c r="AH62" s="57"/>
      <c r="AI62" s="61"/>
      <c r="AJ62" s="62" t="str">
        <f>IF(COUNTA(C62,D62,E62,F62,H62,I62,L62,M62,N62,P62,Q62,R62,S62,T62,U62,X62,Y62,Z62,AB62,AC62,AH62)=0,"",IF(LEN(_xlfn.TEXTJOIN(", ",TRUE,IF(AND(_xlfn.XLOOKUP($C$14,_Requeridos!$A$10:$A$20,_Requeridos!$B$10:$B$20,"")="SI",C62=""),"Orden de Inversión",""),IF(AND(_xlfn.XLOOKUP($C$14,_Requeridos!$A$10:$A$20,_Requeridos!$C$10:$C$20,"")="SI",D62=""),"Elemento PEP",""),IF(AND(_xlfn.XLOOKUP($C$14,_Requeridos!$A$10:$A$20,_Requeridos!$D$10:$D$20,"")="SI",E62=""),"Pedido",""),IF(AND(_xlfn.XLOOKUP($C$14,_Requeridos!$A$10:$A$20,_Requeridos!$E$10:$E$20,"")="SI",F62=""),"Descripción Activo SAP",""),IF(AND(_xlfn.XLOOKUP($C$14,_Requeridos!$A$10:$A$20,_Requeridos!$F$10:$F$20,"")="SI",G62=""),"Clase",""),IF(AND(_xlfn.XLOOKUP($C$14,_Requeridos!$A$10:$A$20,_Requeridos!$G$10:$G$20,"")="SI",H62=""),"Cantidad",""),IF(AND(_xlfn.XLOOKUP($C$14,_Requeridos!$A$10:$A$20,_Requeridos!$H$10:$H$20,"")="SI",I62=""),"Nombre principal AF",""),IF(AND(_xlfn.XLOOKUP($C$14,_Requeridos!$A$10:$A$20,_Requeridos!$I$10:$I$20,"")="SI",L62=""),"Fabricante",""),IF(AND(_xlfn.XLOOKUP($C$14,_Requeridos!$A$10:$A$20,_Requeridos!$J$10:$J$20,"")="SI",M62=""),"Nit Proveedor",""),IF(AND(_xlfn.XLOOKUP($C$14,_Requeridos!$A$10:$A$20,_Requeridos!$K$10:$K$20,"")="SI",N62=""),"Serie",""),IF(AND(_xlfn.XLOOKUP($C$14,_Requeridos!$A$10:$A$20,_Requeridos!$L$10:$L$20,"")="SI",P62=""),"Criterio Clas. 1",""),IF(AND(_xlfn.XLOOKUP($C$14,_Requeridos!$A$10:$A$20,_Requeridos!$M$10:$M$20,"")="SI",Q62=""),"Criterio Clas. 2",""),IF(AND(_xlfn.XLOOKUP($C$14,_Requeridos!$A$10:$A$20,_Requeridos!$N$10:$N$20,"")="SI",R62=""),"Criterio Clas. 3",""),IF(AND(_xlfn.XLOOKUP($C$14,_Requeridos!$A$10:$A$20,_Requeridos!$O$10:$O$20,"")="SI",S62=""),"Criterio Clas. 4",""),IF(AND(_xlfn.XLOOKUP($C$14,_Requeridos!$A$10:$A$20,_Requeridos!$P$10:$P$20,"")="SI",T62=""),"Criterio Clas. 5",""),IF(AND(_xlfn.XLOOKUP($C$14,_Requeridos!$A$10:$A$20,_Requeridos!$Q$10:$Q$20,"")="SI",U62=""),"Ubicación técnica",""),IF(AND(_xlfn.XLOOKUP($C$14,_Requeridos!$A$10:$A$20,_Requeridos!$R$10:$R$20,"")="SI",X62=""),"Centro",""),IF(AND(_xlfn.XLOOKUP($C$14,_Requeridos!$A$10:$A$20,_Requeridos!$S$10:$S$20,"")="SI",Y62=""),"Código País",""),IF(AND(_xlfn.XLOOKUP($C$14,_Requeridos!$A$10:$A$20,_Requeridos!$T$10:$T$20,"")="SI",Z62=""),"Emplazamiento",""),IF(AND(_xlfn.XLOOKUP($C$14,_Requeridos!$A$10:$A$20,_Requeridos!$U$10:$U$20,"")="SI",AB62=""),"Centro de Costo",""),IF(AND(_xlfn.XLOOKUP($C$14,_Requeridos!$A$10:$A$20,_Requeridos!$V$10:$V$20,"")="SI",AC62=""),"Número de personal",""),IF(AND(_xlfn.XLOOKUP($C$14,_Requeridos!$A$10:$A$20,_Requeridos!$W$10:$W$20,"")="SI",AH62=""),"Valor Unitario","")))&gt;0,"⚠️ Faltan: "&amp;_xlfn.TEXTJOIN(", ",TRUE,IF(AND(_xlfn.XLOOKUP($C$14,_Requeridos!$A$10:$A$20,_Requeridos!$B$10:$B$20,"")="SI",C62=""),"Orden de Inversión",""),IF(AND(_xlfn.XLOOKUP($C$14,_Requeridos!$A$10:$A$20,_Requeridos!$C$10:$C$20,"")="SI",D62=""),"Elemento PEP",""),IF(AND(_xlfn.XLOOKUP($C$14,_Requeridos!$A$10:$A$20,_Requeridos!$D$10:$D$20,"")="SI",E62=""),"Pedido",""),IF(AND(_xlfn.XLOOKUP($C$14,_Requeridos!$A$10:$A$20,_Requeridos!$E$10:$E$20,"")="SI",F62=""),"Descripción Activo SAP",""),IF(AND(_xlfn.XLOOKUP($C$14,_Requeridos!$A$10:$A$20,_Requeridos!$F$10:$F$20,"")="SI",G62=""),"Clase",""),IF(AND(_xlfn.XLOOKUP($C$14,_Requeridos!$A$10:$A$20,_Requeridos!$G$10:$G$20,"")="SI",H62=""),"Cantidad",""),IF(AND(_xlfn.XLOOKUP($C$14,_Requeridos!$A$10:$A$20,_Requeridos!$H$10:$H$20,"")="SI",I62=""),"Nombre principal AF",""),IF(AND(_xlfn.XLOOKUP($C$14,_Requeridos!$A$10:$A$20,_Requeridos!$I$10:$I$20,"")="SI",L62=""),"Fabricante",""),IF(AND(_xlfn.XLOOKUP($C$14,_Requeridos!$A$10:$A$20,_Requeridos!$J$10:$J$20,"")="SI",M62=""),"Nit Proveedor",""),IF(AND(_xlfn.XLOOKUP($C$14,_Requeridos!$A$10:$A$20,_Requeridos!$K$10:$K$20,"")="SI",N62=""),"Serie",""),IF(AND(_xlfn.XLOOKUP($C$14,_Requeridos!$A$10:$A$20,_Requeridos!$L$10:$L$20,"")="SI",P62=""),"Criterio Clas. 1",""),IF(AND(_xlfn.XLOOKUP($C$14,_Requeridos!$A$10:$A$20,_Requeridos!$M$10:$M$20,"")="SI",Q62=""),"Criterio Clas. 2",""),IF(AND(_xlfn.XLOOKUP($C$14,_Requeridos!$A$10:$A$20,_Requeridos!$N$10:$N$20,"")="SI",R62=""),"Criterio Clas. 3",""),IF(AND(_xlfn.XLOOKUP($C$14,_Requeridos!$A$10:$A$20,_Requeridos!$O$10:$O$20,"")="SI",S62=""),"Criterio Clas. 4",""),IF(AND(_xlfn.XLOOKUP($C$14,_Requeridos!$A$10:$A$20,_Requeridos!$P$10:$P$20,"")="SI",T62=""),"Criterio Clas. 5",""),IF(AND(_xlfn.XLOOKUP($C$14,_Requeridos!$A$10:$A$20,_Requeridos!$Q$10:$Q$20,"")="SI",U62=""),"Ubicación técnica",""),IF(AND(_xlfn.XLOOKUP($C$14,_Requeridos!$A$10:$A$20,_Requeridos!$R$10:$R$20,"")="SI",X62=""),"Centro",""),IF(AND(_xlfn.XLOOKUP($C$14,_Requeridos!$A$10:$A$20,_Requeridos!$S$10:$S$20,"")="SI",Y62=""),"Código País",""),IF(AND(_xlfn.XLOOKUP($C$14,_Requeridos!$A$10:$A$20,_Requeridos!$T$10:$T$20,"")="SI",Z62=""),"Emplazamiento",""),IF(AND(_xlfn.XLOOKUP($C$14,_Requeridos!$A$10:$A$20,_Requeridos!$U$10:$U$20,"")="SI",AB62=""),"Centro de Costo",""),IF(AND(_xlfn.XLOOKUP($C$14,_Requeridos!$A$10:$A$20,_Requeridos!$V$10:$V$20,"")="SI",AC62=""),"Número de personal",""),IF(AND(_xlfn.XLOOKUP($C$14,_Requeridos!$A$10:$A$20,_Requeridos!$W$10:$W$20,"")="SI",AH62=""),"Valor Unitario","")),"✅ Completo"))</f>
        <v/>
      </c>
      <c r="AK62" s="52"/>
    </row>
    <row r="63" spans="1:37" s="37" customFormat="1" x14ac:dyDescent="0.35">
      <c r="A63" s="31"/>
      <c r="B63" s="56">
        <v>42</v>
      </c>
      <c r="C63" s="57"/>
      <c r="D63" s="57"/>
      <c r="E63" s="57"/>
      <c r="F63" s="57"/>
      <c r="G63" s="58" t="str">
        <f>IFERROR(_xlfn.XLOOKUP(F63,Clase!$C$2:$C$292,Clase!$B$2:$B$292,""),"")</f>
        <v/>
      </c>
      <c r="H63" s="57"/>
      <c r="I63" s="59"/>
      <c r="J63" s="57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7"/>
      <c r="AC63" s="57"/>
      <c r="AD63" s="58" t="str">
        <f>IFERROR(_xlfn.XLOOKUP(AB63,Ceco!$B$2:$B$901,Ceco!$C$2:$C$901,""),"")</f>
        <v/>
      </c>
      <c r="AE63" s="57"/>
      <c r="AF63" s="57"/>
      <c r="AG63" s="60"/>
      <c r="AH63" s="57"/>
      <c r="AI63" s="61"/>
      <c r="AJ63" s="62" t="str">
        <f>IF(COUNTA(C63,D63,E63,F63,H63,I63,L63,M63,N63,P63,Q63,R63,S63,T63,U63,X63,Y63,Z63,AB63,AC63,AH63)=0,"",IF(LEN(_xlfn.TEXTJOIN(", ",TRUE,IF(AND(_xlfn.XLOOKUP($C$14,_Requeridos!$A$10:$A$20,_Requeridos!$B$10:$B$20,"")="SI",C63=""),"Orden de Inversión",""),IF(AND(_xlfn.XLOOKUP($C$14,_Requeridos!$A$10:$A$20,_Requeridos!$C$10:$C$20,"")="SI",D63=""),"Elemento PEP",""),IF(AND(_xlfn.XLOOKUP($C$14,_Requeridos!$A$10:$A$20,_Requeridos!$D$10:$D$20,"")="SI",E63=""),"Pedido",""),IF(AND(_xlfn.XLOOKUP($C$14,_Requeridos!$A$10:$A$20,_Requeridos!$E$10:$E$20,"")="SI",F63=""),"Descripción Activo SAP",""),IF(AND(_xlfn.XLOOKUP($C$14,_Requeridos!$A$10:$A$20,_Requeridos!$F$10:$F$20,"")="SI",G63=""),"Clase",""),IF(AND(_xlfn.XLOOKUP($C$14,_Requeridos!$A$10:$A$20,_Requeridos!$G$10:$G$20,"")="SI",H63=""),"Cantidad",""),IF(AND(_xlfn.XLOOKUP($C$14,_Requeridos!$A$10:$A$20,_Requeridos!$H$10:$H$20,"")="SI",I63=""),"Nombre principal AF",""),IF(AND(_xlfn.XLOOKUP($C$14,_Requeridos!$A$10:$A$20,_Requeridos!$I$10:$I$20,"")="SI",L63=""),"Fabricante",""),IF(AND(_xlfn.XLOOKUP($C$14,_Requeridos!$A$10:$A$20,_Requeridos!$J$10:$J$20,"")="SI",M63=""),"Nit Proveedor",""),IF(AND(_xlfn.XLOOKUP($C$14,_Requeridos!$A$10:$A$20,_Requeridos!$K$10:$K$20,"")="SI",N63=""),"Serie",""),IF(AND(_xlfn.XLOOKUP($C$14,_Requeridos!$A$10:$A$20,_Requeridos!$L$10:$L$20,"")="SI",P63=""),"Criterio Clas. 1",""),IF(AND(_xlfn.XLOOKUP($C$14,_Requeridos!$A$10:$A$20,_Requeridos!$M$10:$M$20,"")="SI",Q63=""),"Criterio Clas. 2",""),IF(AND(_xlfn.XLOOKUP($C$14,_Requeridos!$A$10:$A$20,_Requeridos!$N$10:$N$20,"")="SI",R63=""),"Criterio Clas. 3",""),IF(AND(_xlfn.XLOOKUP($C$14,_Requeridos!$A$10:$A$20,_Requeridos!$O$10:$O$20,"")="SI",S63=""),"Criterio Clas. 4",""),IF(AND(_xlfn.XLOOKUP($C$14,_Requeridos!$A$10:$A$20,_Requeridos!$P$10:$P$20,"")="SI",T63=""),"Criterio Clas. 5",""),IF(AND(_xlfn.XLOOKUP($C$14,_Requeridos!$A$10:$A$20,_Requeridos!$Q$10:$Q$20,"")="SI",U63=""),"Ubicación técnica",""),IF(AND(_xlfn.XLOOKUP($C$14,_Requeridos!$A$10:$A$20,_Requeridos!$R$10:$R$20,"")="SI",X63=""),"Centro",""),IF(AND(_xlfn.XLOOKUP($C$14,_Requeridos!$A$10:$A$20,_Requeridos!$S$10:$S$20,"")="SI",Y63=""),"Código País",""),IF(AND(_xlfn.XLOOKUP($C$14,_Requeridos!$A$10:$A$20,_Requeridos!$T$10:$T$20,"")="SI",Z63=""),"Emplazamiento",""),IF(AND(_xlfn.XLOOKUP($C$14,_Requeridos!$A$10:$A$20,_Requeridos!$U$10:$U$20,"")="SI",AB63=""),"Centro de Costo",""),IF(AND(_xlfn.XLOOKUP($C$14,_Requeridos!$A$10:$A$20,_Requeridos!$V$10:$V$20,"")="SI",AC63=""),"Número de personal",""),IF(AND(_xlfn.XLOOKUP($C$14,_Requeridos!$A$10:$A$20,_Requeridos!$W$10:$W$20,"")="SI",AH63=""),"Valor Unitario","")))&gt;0,"⚠️ Faltan: "&amp;_xlfn.TEXTJOIN(", ",TRUE,IF(AND(_xlfn.XLOOKUP($C$14,_Requeridos!$A$10:$A$20,_Requeridos!$B$10:$B$20,"")="SI",C63=""),"Orden de Inversión",""),IF(AND(_xlfn.XLOOKUP($C$14,_Requeridos!$A$10:$A$20,_Requeridos!$C$10:$C$20,"")="SI",D63=""),"Elemento PEP",""),IF(AND(_xlfn.XLOOKUP($C$14,_Requeridos!$A$10:$A$20,_Requeridos!$D$10:$D$20,"")="SI",E63=""),"Pedido",""),IF(AND(_xlfn.XLOOKUP($C$14,_Requeridos!$A$10:$A$20,_Requeridos!$E$10:$E$20,"")="SI",F63=""),"Descripción Activo SAP",""),IF(AND(_xlfn.XLOOKUP($C$14,_Requeridos!$A$10:$A$20,_Requeridos!$F$10:$F$20,"")="SI",G63=""),"Clase",""),IF(AND(_xlfn.XLOOKUP($C$14,_Requeridos!$A$10:$A$20,_Requeridos!$G$10:$G$20,"")="SI",H63=""),"Cantidad",""),IF(AND(_xlfn.XLOOKUP($C$14,_Requeridos!$A$10:$A$20,_Requeridos!$H$10:$H$20,"")="SI",I63=""),"Nombre principal AF",""),IF(AND(_xlfn.XLOOKUP($C$14,_Requeridos!$A$10:$A$20,_Requeridos!$I$10:$I$20,"")="SI",L63=""),"Fabricante",""),IF(AND(_xlfn.XLOOKUP($C$14,_Requeridos!$A$10:$A$20,_Requeridos!$J$10:$J$20,"")="SI",M63=""),"Nit Proveedor",""),IF(AND(_xlfn.XLOOKUP($C$14,_Requeridos!$A$10:$A$20,_Requeridos!$K$10:$K$20,"")="SI",N63=""),"Serie",""),IF(AND(_xlfn.XLOOKUP($C$14,_Requeridos!$A$10:$A$20,_Requeridos!$L$10:$L$20,"")="SI",P63=""),"Criterio Clas. 1",""),IF(AND(_xlfn.XLOOKUP($C$14,_Requeridos!$A$10:$A$20,_Requeridos!$M$10:$M$20,"")="SI",Q63=""),"Criterio Clas. 2",""),IF(AND(_xlfn.XLOOKUP($C$14,_Requeridos!$A$10:$A$20,_Requeridos!$N$10:$N$20,"")="SI",R63=""),"Criterio Clas. 3",""),IF(AND(_xlfn.XLOOKUP($C$14,_Requeridos!$A$10:$A$20,_Requeridos!$O$10:$O$20,"")="SI",S63=""),"Criterio Clas. 4",""),IF(AND(_xlfn.XLOOKUP($C$14,_Requeridos!$A$10:$A$20,_Requeridos!$P$10:$P$20,"")="SI",T63=""),"Criterio Clas. 5",""),IF(AND(_xlfn.XLOOKUP($C$14,_Requeridos!$A$10:$A$20,_Requeridos!$Q$10:$Q$20,"")="SI",U63=""),"Ubicación técnica",""),IF(AND(_xlfn.XLOOKUP($C$14,_Requeridos!$A$10:$A$20,_Requeridos!$R$10:$R$20,"")="SI",X63=""),"Centro",""),IF(AND(_xlfn.XLOOKUP($C$14,_Requeridos!$A$10:$A$20,_Requeridos!$S$10:$S$20,"")="SI",Y63=""),"Código País",""),IF(AND(_xlfn.XLOOKUP($C$14,_Requeridos!$A$10:$A$20,_Requeridos!$T$10:$T$20,"")="SI",Z63=""),"Emplazamiento",""),IF(AND(_xlfn.XLOOKUP($C$14,_Requeridos!$A$10:$A$20,_Requeridos!$U$10:$U$20,"")="SI",AB63=""),"Centro de Costo",""),IF(AND(_xlfn.XLOOKUP($C$14,_Requeridos!$A$10:$A$20,_Requeridos!$V$10:$V$20,"")="SI",AC63=""),"Número de personal",""),IF(AND(_xlfn.XLOOKUP($C$14,_Requeridos!$A$10:$A$20,_Requeridos!$W$10:$W$20,"")="SI",AH63=""),"Valor Unitario","")),"✅ Completo"))</f>
        <v/>
      </c>
      <c r="AK63" s="52"/>
    </row>
    <row r="64" spans="1:37" s="37" customFormat="1" x14ac:dyDescent="0.35">
      <c r="A64" s="31"/>
      <c r="B64" s="56">
        <v>43</v>
      </c>
      <c r="C64" s="57"/>
      <c r="D64" s="57"/>
      <c r="E64" s="57"/>
      <c r="F64" s="57"/>
      <c r="G64" s="58" t="str">
        <f>IFERROR(_xlfn.XLOOKUP(F64,Clase!$C$2:$C$292,Clase!$B$2:$B$292,""),"")</f>
        <v/>
      </c>
      <c r="H64" s="57"/>
      <c r="I64" s="59"/>
      <c r="J64" s="57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7"/>
      <c r="AC64" s="57"/>
      <c r="AD64" s="58" t="str">
        <f>IFERROR(_xlfn.XLOOKUP(AB64,Ceco!$B$2:$B$901,Ceco!$C$2:$C$901,""),"")</f>
        <v/>
      </c>
      <c r="AE64" s="57"/>
      <c r="AF64" s="57"/>
      <c r="AG64" s="60"/>
      <c r="AH64" s="57"/>
      <c r="AI64" s="61"/>
      <c r="AJ64" s="62" t="str">
        <f>IF(COUNTA(C64,D64,E64,F64,H64,I64,L64,M64,N64,P64,Q64,R64,S64,T64,U64,X64,Y64,Z64,AB64,AC64,AH64)=0,"",IF(LEN(_xlfn.TEXTJOIN(", ",TRUE,IF(AND(_xlfn.XLOOKUP($C$14,_Requeridos!$A$10:$A$20,_Requeridos!$B$10:$B$20,"")="SI",C64=""),"Orden de Inversión",""),IF(AND(_xlfn.XLOOKUP($C$14,_Requeridos!$A$10:$A$20,_Requeridos!$C$10:$C$20,"")="SI",D64=""),"Elemento PEP",""),IF(AND(_xlfn.XLOOKUP($C$14,_Requeridos!$A$10:$A$20,_Requeridos!$D$10:$D$20,"")="SI",E64=""),"Pedido",""),IF(AND(_xlfn.XLOOKUP($C$14,_Requeridos!$A$10:$A$20,_Requeridos!$E$10:$E$20,"")="SI",F64=""),"Descripción Activo SAP",""),IF(AND(_xlfn.XLOOKUP($C$14,_Requeridos!$A$10:$A$20,_Requeridos!$F$10:$F$20,"")="SI",G64=""),"Clase",""),IF(AND(_xlfn.XLOOKUP($C$14,_Requeridos!$A$10:$A$20,_Requeridos!$G$10:$G$20,"")="SI",H64=""),"Cantidad",""),IF(AND(_xlfn.XLOOKUP($C$14,_Requeridos!$A$10:$A$20,_Requeridos!$H$10:$H$20,"")="SI",I64=""),"Nombre principal AF",""),IF(AND(_xlfn.XLOOKUP($C$14,_Requeridos!$A$10:$A$20,_Requeridos!$I$10:$I$20,"")="SI",L64=""),"Fabricante",""),IF(AND(_xlfn.XLOOKUP($C$14,_Requeridos!$A$10:$A$20,_Requeridos!$J$10:$J$20,"")="SI",M64=""),"Nit Proveedor",""),IF(AND(_xlfn.XLOOKUP($C$14,_Requeridos!$A$10:$A$20,_Requeridos!$K$10:$K$20,"")="SI",N64=""),"Serie",""),IF(AND(_xlfn.XLOOKUP($C$14,_Requeridos!$A$10:$A$20,_Requeridos!$L$10:$L$20,"")="SI",P64=""),"Criterio Clas. 1",""),IF(AND(_xlfn.XLOOKUP($C$14,_Requeridos!$A$10:$A$20,_Requeridos!$M$10:$M$20,"")="SI",Q64=""),"Criterio Clas. 2",""),IF(AND(_xlfn.XLOOKUP($C$14,_Requeridos!$A$10:$A$20,_Requeridos!$N$10:$N$20,"")="SI",R64=""),"Criterio Clas. 3",""),IF(AND(_xlfn.XLOOKUP($C$14,_Requeridos!$A$10:$A$20,_Requeridos!$O$10:$O$20,"")="SI",S64=""),"Criterio Clas. 4",""),IF(AND(_xlfn.XLOOKUP($C$14,_Requeridos!$A$10:$A$20,_Requeridos!$P$10:$P$20,"")="SI",T64=""),"Criterio Clas. 5",""),IF(AND(_xlfn.XLOOKUP($C$14,_Requeridos!$A$10:$A$20,_Requeridos!$Q$10:$Q$20,"")="SI",U64=""),"Ubicación técnica",""),IF(AND(_xlfn.XLOOKUP($C$14,_Requeridos!$A$10:$A$20,_Requeridos!$R$10:$R$20,"")="SI",X64=""),"Centro",""),IF(AND(_xlfn.XLOOKUP($C$14,_Requeridos!$A$10:$A$20,_Requeridos!$S$10:$S$20,"")="SI",Y64=""),"Código País",""),IF(AND(_xlfn.XLOOKUP($C$14,_Requeridos!$A$10:$A$20,_Requeridos!$T$10:$T$20,"")="SI",Z64=""),"Emplazamiento",""),IF(AND(_xlfn.XLOOKUP($C$14,_Requeridos!$A$10:$A$20,_Requeridos!$U$10:$U$20,"")="SI",AB64=""),"Centro de Costo",""),IF(AND(_xlfn.XLOOKUP($C$14,_Requeridos!$A$10:$A$20,_Requeridos!$V$10:$V$20,"")="SI",AC64=""),"Número de personal",""),IF(AND(_xlfn.XLOOKUP($C$14,_Requeridos!$A$10:$A$20,_Requeridos!$W$10:$W$20,"")="SI",AH64=""),"Valor Unitario","")))&gt;0,"⚠️ Faltan: "&amp;_xlfn.TEXTJOIN(", ",TRUE,IF(AND(_xlfn.XLOOKUP($C$14,_Requeridos!$A$10:$A$20,_Requeridos!$B$10:$B$20,"")="SI",C64=""),"Orden de Inversión",""),IF(AND(_xlfn.XLOOKUP($C$14,_Requeridos!$A$10:$A$20,_Requeridos!$C$10:$C$20,"")="SI",D64=""),"Elemento PEP",""),IF(AND(_xlfn.XLOOKUP($C$14,_Requeridos!$A$10:$A$20,_Requeridos!$D$10:$D$20,"")="SI",E64=""),"Pedido",""),IF(AND(_xlfn.XLOOKUP($C$14,_Requeridos!$A$10:$A$20,_Requeridos!$E$10:$E$20,"")="SI",F64=""),"Descripción Activo SAP",""),IF(AND(_xlfn.XLOOKUP($C$14,_Requeridos!$A$10:$A$20,_Requeridos!$F$10:$F$20,"")="SI",G64=""),"Clase",""),IF(AND(_xlfn.XLOOKUP($C$14,_Requeridos!$A$10:$A$20,_Requeridos!$G$10:$G$20,"")="SI",H64=""),"Cantidad",""),IF(AND(_xlfn.XLOOKUP($C$14,_Requeridos!$A$10:$A$20,_Requeridos!$H$10:$H$20,"")="SI",I64=""),"Nombre principal AF",""),IF(AND(_xlfn.XLOOKUP($C$14,_Requeridos!$A$10:$A$20,_Requeridos!$I$10:$I$20,"")="SI",L64=""),"Fabricante",""),IF(AND(_xlfn.XLOOKUP($C$14,_Requeridos!$A$10:$A$20,_Requeridos!$J$10:$J$20,"")="SI",M64=""),"Nit Proveedor",""),IF(AND(_xlfn.XLOOKUP($C$14,_Requeridos!$A$10:$A$20,_Requeridos!$K$10:$K$20,"")="SI",N64=""),"Serie",""),IF(AND(_xlfn.XLOOKUP($C$14,_Requeridos!$A$10:$A$20,_Requeridos!$L$10:$L$20,"")="SI",P64=""),"Criterio Clas. 1",""),IF(AND(_xlfn.XLOOKUP($C$14,_Requeridos!$A$10:$A$20,_Requeridos!$M$10:$M$20,"")="SI",Q64=""),"Criterio Clas. 2",""),IF(AND(_xlfn.XLOOKUP($C$14,_Requeridos!$A$10:$A$20,_Requeridos!$N$10:$N$20,"")="SI",R64=""),"Criterio Clas. 3",""),IF(AND(_xlfn.XLOOKUP($C$14,_Requeridos!$A$10:$A$20,_Requeridos!$O$10:$O$20,"")="SI",S64=""),"Criterio Clas. 4",""),IF(AND(_xlfn.XLOOKUP($C$14,_Requeridos!$A$10:$A$20,_Requeridos!$P$10:$P$20,"")="SI",T64=""),"Criterio Clas. 5",""),IF(AND(_xlfn.XLOOKUP($C$14,_Requeridos!$A$10:$A$20,_Requeridos!$Q$10:$Q$20,"")="SI",U64=""),"Ubicación técnica",""),IF(AND(_xlfn.XLOOKUP($C$14,_Requeridos!$A$10:$A$20,_Requeridos!$R$10:$R$20,"")="SI",X64=""),"Centro",""),IF(AND(_xlfn.XLOOKUP($C$14,_Requeridos!$A$10:$A$20,_Requeridos!$S$10:$S$20,"")="SI",Y64=""),"Código País",""),IF(AND(_xlfn.XLOOKUP($C$14,_Requeridos!$A$10:$A$20,_Requeridos!$T$10:$T$20,"")="SI",Z64=""),"Emplazamiento",""),IF(AND(_xlfn.XLOOKUP($C$14,_Requeridos!$A$10:$A$20,_Requeridos!$U$10:$U$20,"")="SI",AB64=""),"Centro de Costo",""),IF(AND(_xlfn.XLOOKUP($C$14,_Requeridos!$A$10:$A$20,_Requeridos!$V$10:$V$20,"")="SI",AC64=""),"Número de personal",""),IF(AND(_xlfn.XLOOKUP($C$14,_Requeridos!$A$10:$A$20,_Requeridos!$W$10:$W$20,"")="SI",AH64=""),"Valor Unitario","")),"✅ Completo"))</f>
        <v/>
      </c>
      <c r="AK64" s="52"/>
    </row>
    <row r="65" spans="1:37" s="37" customFormat="1" x14ac:dyDescent="0.35">
      <c r="A65" s="31"/>
      <c r="B65" s="56">
        <v>44</v>
      </c>
      <c r="C65" s="57"/>
      <c r="D65" s="57"/>
      <c r="E65" s="57"/>
      <c r="F65" s="57"/>
      <c r="G65" s="58" t="str">
        <f>IFERROR(_xlfn.XLOOKUP(F65,Clase!$C$2:$C$292,Clase!$B$2:$B$292,""),"")</f>
        <v/>
      </c>
      <c r="H65" s="57"/>
      <c r="I65" s="59"/>
      <c r="J65" s="57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7"/>
      <c r="AC65" s="57"/>
      <c r="AD65" s="58" t="str">
        <f>IFERROR(_xlfn.XLOOKUP(AB65,Ceco!$B$2:$B$901,Ceco!$C$2:$C$901,""),"")</f>
        <v/>
      </c>
      <c r="AE65" s="57"/>
      <c r="AF65" s="57"/>
      <c r="AG65" s="60"/>
      <c r="AH65" s="57"/>
      <c r="AI65" s="61"/>
      <c r="AJ65" s="62" t="str">
        <f>IF(COUNTA(C65,D65,E65,F65,H65,I65,L65,M65,N65,P65,Q65,R65,S65,T65,U65,X65,Y65,Z65,AB65,AC65,AH65)=0,"",IF(LEN(_xlfn.TEXTJOIN(", ",TRUE,IF(AND(_xlfn.XLOOKUP($C$14,_Requeridos!$A$10:$A$20,_Requeridos!$B$10:$B$20,"")="SI",C65=""),"Orden de Inversión",""),IF(AND(_xlfn.XLOOKUP($C$14,_Requeridos!$A$10:$A$20,_Requeridos!$C$10:$C$20,"")="SI",D65=""),"Elemento PEP",""),IF(AND(_xlfn.XLOOKUP($C$14,_Requeridos!$A$10:$A$20,_Requeridos!$D$10:$D$20,"")="SI",E65=""),"Pedido",""),IF(AND(_xlfn.XLOOKUP($C$14,_Requeridos!$A$10:$A$20,_Requeridos!$E$10:$E$20,"")="SI",F65=""),"Descripción Activo SAP",""),IF(AND(_xlfn.XLOOKUP($C$14,_Requeridos!$A$10:$A$20,_Requeridos!$F$10:$F$20,"")="SI",G65=""),"Clase",""),IF(AND(_xlfn.XLOOKUP($C$14,_Requeridos!$A$10:$A$20,_Requeridos!$G$10:$G$20,"")="SI",H65=""),"Cantidad",""),IF(AND(_xlfn.XLOOKUP($C$14,_Requeridos!$A$10:$A$20,_Requeridos!$H$10:$H$20,"")="SI",I65=""),"Nombre principal AF",""),IF(AND(_xlfn.XLOOKUP($C$14,_Requeridos!$A$10:$A$20,_Requeridos!$I$10:$I$20,"")="SI",L65=""),"Fabricante",""),IF(AND(_xlfn.XLOOKUP($C$14,_Requeridos!$A$10:$A$20,_Requeridos!$J$10:$J$20,"")="SI",M65=""),"Nit Proveedor",""),IF(AND(_xlfn.XLOOKUP($C$14,_Requeridos!$A$10:$A$20,_Requeridos!$K$10:$K$20,"")="SI",N65=""),"Serie",""),IF(AND(_xlfn.XLOOKUP($C$14,_Requeridos!$A$10:$A$20,_Requeridos!$L$10:$L$20,"")="SI",P65=""),"Criterio Clas. 1",""),IF(AND(_xlfn.XLOOKUP($C$14,_Requeridos!$A$10:$A$20,_Requeridos!$M$10:$M$20,"")="SI",Q65=""),"Criterio Clas. 2",""),IF(AND(_xlfn.XLOOKUP($C$14,_Requeridos!$A$10:$A$20,_Requeridos!$N$10:$N$20,"")="SI",R65=""),"Criterio Clas. 3",""),IF(AND(_xlfn.XLOOKUP($C$14,_Requeridos!$A$10:$A$20,_Requeridos!$O$10:$O$20,"")="SI",S65=""),"Criterio Clas. 4",""),IF(AND(_xlfn.XLOOKUP($C$14,_Requeridos!$A$10:$A$20,_Requeridos!$P$10:$P$20,"")="SI",T65=""),"Criterio Clas. 5",""),IF(AND(_xlfn.XLOOKUP($C$14,_Requeridos!$A$10:$A$20,_Requeridos!$Q$10:$Q$20,"")="SI",U65=""),"Ubicación técnica",""),IF(AND(_xlfn.XLOOKUP($C$14,_Requeridos!$A$10:$A$20,_Requeridos!$R$10:$R$20,"")="SI",X65=""),"Centro",""),IF(AND(_xlfn.XLOOKUP($C$14,_Requeridos!$A$10:$A$20,_Requeridos!$S$10:$S$20,"")="SI",Y65=""),"Código País",""),IF(AND(_xlfn.XLOOKUP($C$14,_Requeridos!$A$10:$A$20,_Requeridos!$T$10:$T$20,"")="SI",Z65=""),"Emplazamiento",""),IF(AND(_xlfn.XLOOKUP($C$14,_Requeridos!$A$10:$A$20,_Requeridos!$U$10:$U$20,"")="SI",AB65=""),"Centro de Costo",""),IF(AND(_xlfn.XLOOKUP($C$14,_Requeridos!$A$10:$A$20,_Requeridos!$V$10:$V$20,"")="SI",AC65=""),"Número de personal",""),IF(AND(_xlfn.XLOOKUP($C$14,_Requeridos!$A$10:$A$20,_Requeridos!$W$10:$W$20,"")="SI",AH65=""),"Valor Unitario","")))&gt;0,"⚠️ Faltan: "&amp;_xlfn.TEXTJOIN(", ",TRUE,IF(AND(_xlfn.XLOOKUP($C$14,_Requeridos!$A$10:$A$20,_Requeridos!$B$10:$B$20,"")="SI",C65=""),"Orden de Inversión",""),IF(AND(_xlfn.XLOOKUP($C$14,_Requeridos!$A$10:$A$20,_Requeridos!$C$10:$C$20,"")="SI",D65=""),"Elemento PEP",""),IF(AND(_xlfn.XLOOKUP($C$14,_Requeridos!$A$10:$A$20,_Requeridos!$D$10:$D$20,"")="SI",E65=""),"Pedido",""),IF(AND(_xlfn.XLOOKUP($C$14,_Requeridos!$A$10:$A$20,_Requeridos!$E$10:$E$20,"")="SI",F65=""),"Descripción Activo SAP",""),IF(AND(_xlfn.XLOOKUP($C$14,_Requeridos!$A$10:$A$20,_Requeridos!$F$10:$F$20,"")="SI",G65=""),"Clase",""),IF(AND(_xlfn.XLOOKUP($C$14,_Requeridos!$A$10:$A$20,_Requeridos!$G$10:$G$20,"")="SI",H65=""),"Cantidad",""),IF(AND(_xlfn.XLOOKUP($C$14,_Requeridos!$A$10:$A$20,_Requeridos!$H$10:$H$20,"")="SI",I65=""),"Nombre principal AF",""),IF(AND(_xlfn.XLOOKUP($C$14,_Requeridos!$A$10:$A$20,_Requeridos!$I$10:$I$20,"")="SI",L65=""),"Fabricante",""),IF(AND(_xlfn.XLOOKUP($C$14,_Requeridos!$A$10:$A$20,_Requeridos!$J$10:$J$20,"")="SI",M65=""),"Nit Proveedor",""),IF(AND(_xlfn.XLOOKUP($C$14,_Requeridos!$A$10:$A$20,_Requeridos!$K$10:$K$20,"")="SI",N65=""),"Serie",""),IF(AND(_xlfn.XLOOKUP($C$14,_Requeridos!$A$10:$A$20,_Requeridos!$L$10:$L$20,"")="SI",P65=""),"Criterio Clas. 1",""),IF(AND(_xlfn.XLOOKUP($C$14,_Requeridos!$A$10:$A$20,_Requeridos!$M$10:$M$20,"")="SI",Q65=""),"Criterio Clas. 2",""),IF(AND(_xlfn.XLOOKUP($C$14,_Requeridos!$A$10:$A$20,_Requeridos!$N$10:$N$20,"")="SI",R65=""),"Criterio Clas. 3",""),IF(AND(_xlfn.XLOOKUP($C$14,_Requeridos!$A$10:$A$20,_Requeridos!$O$10:$O$20,"")="SI",S65=""),"Criterio Clas. 4",""),IF(AND(_xlfn.XLOOKUP($C$14,_Requeridos!$A$10:$A$20,_Requeridos!$P$10:$P$20,"")="SI",T65=""),"Criterio Clas. 5",""),IF(AND(_xlfn.XLOOKUP($C$14,_Requeridos!$A$10:$A$20,_Requeridos!$Q$10:$Q$20,"")="SI",U65=""),"Ubicación técnica",""),IF(AND(_xlfn.XLOOKUP($C$14,_Requeridos!$A$10:$A$20,_Requeridos!$R$10:$R$20,"")="SI",X65=""),"Centro",""),IF(AND(_xlfn.XLOOKUP($C$14,_Requeridos!$A$10:$A$20,_Requeridos!$S$10:$S$20,"")="SI",Y65=""),"Código País",""),IF(AND(_xlfn.XLOOKUP($C$14,_Requeridos!$A$10:$A$20,_Requeridos!$T$10:$T$20,"")="SI",Z65=""),"Emplazamiento",""),IF(AND(_xlfn.XLOOKUP($C$14,_Requeridos!$A$10:$A$20,_Requeridos!$U$10:$U$20,"")="SI",AB65=""),"Centro de Costo",""),IF(AND(_xlfn.XLOOKUP($C$14,_Requeridos!$A$10:$A$20,_Requeridos!$V$10:$V$20,"")="SI",AC65=""),"Número de personal",""),IF(AND(_xlfn.XLOOKUP($C$14,_Requeridos!$A$10:$A$20,_Requeridos!$W$10:$W$20,"")="SI",AH65=""),"Valor Unitario","")),"✅ Completo"))</f>
        <v/>
      </c>
      <c r="AK65" s="52"/>
    </row>
    <row r="66" spans="1:37" s="37" customFormat="1" x14ac:dyDescent="0.35">
      <c r="A66" s="31"/>
      <c r="B66" s="56">
        <v>45</v>
      </c>
      <c r="C66" s="57"/>
      <c r="D66" s="57"/>
      <c r="E66" s="57"/>
      <c r="F66" s="57"/>
      <c r="G66" s="58" t="str">
        <f>IFERROR(_xlfn.XLOOKUP(F66,Clase!$C$2:$C$292,Clase!$B$2:$B$292,""),"")</f>
        <v/>
      </c>
      <c r="H66" s="57"/>
      <c r="I66" s="59"/>
      <c r="J66" s="57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7"/>
      <c r="AC66" s="57"/>
      <c r="AD66" s="58" t="str">
        <f>IFERROR(_xlfn.XLOOKUP(AB66,Ceco!$B$2:$B$901,Ceco!$C$2:$C$901,""),"")</f>
        <v/>
      </c>
      <c r="AE66" s="57"/>
      <c r="AF66" s="57"/>
      <c r="AG66" s="60"/>
      <c r="AH66" s="57"/>
      <c r="AI66" s="61"/>
      <c r="AJ66" s="62" t="str">
        <f>IF(COUNTA(C66,D66,E66,F66,H66,I66,L66,M66,N66,P66,Q66,R66,S66,T66,U66,X66,Y66,Z66,AB66,AC66,AH66)=0,"",IF(LEN(_xlfn.TEXTJOIN(", ",TRUE,IF(AND(_xlfn.XLOOKUP($C$14,_Requeridos!$A$10:$A$20,_Requeridos!$B$10:$B$20,"")="SI",C66=""),"Orden de Inversión",""),IF(AND(_xlfn.XLOOKUP($C$14,_Requeridos!$A$10:$A$20,_Requeridos!$C$10:$C$20,"")="SI",D66=""),"Elemento PEP",""),IF(AND(_xlfn.XLOOKUP($C$14,_Requeridos!$A$10:$A$20,_Requeridos!$D$10:$D$20,"")="SI",E66=""),"Pedido",""),IF(AND(_xlfn.XLOOKUP($C$14,_Requeridos!$A$10:$A$20,_Requeridos!$E$10:$E$20,"")="SI",F66=""),"Descripción Activo SAP",""),IF(AND(_xlfn.XLOOKUP($C$14,_Requeridos!$A$10:$A$20,_Requeridos!$F$10:$F$20,"")="SI",G66=""),"Clase",""),IF(AND(_xlfn.XLOOKUP($C$14,_Requeridos!$A$10:$A$20,_Requeridos!$G$10:$G$20,"")="SI",H66=""),"Cantidad",""),IF(AND(_xlfn.XLOOKUP($C$14,_Requeridos!$A$10:$A$20,_Requeridos!$H$10:$H$20,"")="SI",I66=""),"Nombre principal AF",""),IF(AND(_xlfn.XLOOKUP($C$14,_Requeridos!$A$10:$A$20,_Requeridos!$I$10:$I$20,"")="SI",L66=""),"Fabricante",""),IF(AND(_xlfn.XLOOKUP($C$14,_Requeridos!$A$10:$A$20,_Requeridos!$J$10:$J$20,"")="SI",M66=""),"Nit Proveedor",""),IF(AND(_xlfn.XLOOKUP($C$14,_Requeridos!$A$10:$A$20,_Requeridos!$K$10:$K$20,"")="SI",N66=""),"Serie",""),IF(AND(_xlfn.XLOOKUP($C$14,_Requeridos!$A$10:$A$20,_Requeridos!$L$10:$L$20,"")="SI",P66=""),"Criterio Clas. 1",""),IF(AND(_xlfn.XLOOKUP($C$14,_Requeridos!$A$10:$A$20,_Requeridos!$M$10:$M$20,"")="SI",Q66=""),"Criterio Clas. 2",""),IF(AND(_xlfn.XLOOKUP($C$14,_Requeridos!$A$10:$A$20,_Requeridos!$N$10:$N$20,"")="SI",R66=""),"Criterio Clas. 3",""),IF(AND(_xlfn.XLOOKUP($C$14,_Requeridos!$A$10:$A$20,_Requeridos!$O$10:$O$20,"")="SI",S66=""),"Criterio Clas. 4",""),IF(AND(_xlfn.XLOOKUP($C$14,_Requeridos!$A$10:$A$20,_Requeridos!$P$10:$P$20,"")="SI",T66=""),"Criterio Clas. 5",""),IF(AND(_xlfn.XLOOKUP($C$14,_Requeridos!$A$10:$A$20,_Requeridos!$Q$10:$Q$20,"")="SI",U66=""),"Ubicación técnica",""),IF(AND(_xlfn.XLOOKUP($C$14,_Requeridos!$A$10:$A$20,_Requeridos!$R$10:$R$20,"")="SI",X66=""),"Centro",""),IF(AND(_xlfn.XLOOKUP($C$14,_Requeridos!$A$10:$A$20,_Requeridos!$S$10:$S$20,"")="SI",Y66=""),"Código País",""),IF(AND(_xlfn.XLOOKUP($C$14,_Requeridos!$A$10:$A$20,_Requeridos!$T$10:$T$20,"")="SI",Z66=""),"Emplazamiento",""),IF(AND(_xlfn.XLOOKUP($C$14,_Requeridos!$A$10:$A$20,_Requeridos!$U$10:$U$20,"")="SI",AB66=""),"Centro de Costo",""),IF(AND(_xlfn.XLOOKUP($C$14,_Requeridos!$A$10:$A$20,_Requeridos!$V$10:$V$20,"")="SI",AC66=""),"Número de personal",""),IF(AND(_xlfn.XLOOKUP($C$14,_Requeridos!$A$10:$A$20,_Requeridos!$W$10:$W$20,"")="SI",AH66=""),"Valor Unitario","")))&gt;0,"⚠️ Faltan: "&amp;_xlfn.TEXTJOIN(", ",TRUE,IF(AND(_xlfn.XLOOKUP($C$14,_Requeridos!$A$10:$A$20,_Requeridos!$B$10:$B$20,"")="SI",C66=""),"Orden de Inversión",""),IF(AND(_xlfn.XLOOKUP($C$14,_Requeridos!$A$10:$A$20,_Requeridos!$C$10:$C$20,"")="SI",D66=""),"Elemento PEP",""),IF(AND(_xlfn.XLOOKUP($C$14,_Requeridos!$A$10:$A$20,_Requeridos!$D$10:$D$20,"")="SI",E66=""),"Pedido",""),IF(AND(_xlfn.XLOOKUP($C$14,_Requeridos!$A$10:$A$20,_Requeridos!$E$10:$E$20,"")="SI",F66=""),"Descripción Activo SAP",""),IF(AND(_xlfn.XLOOKUP($C$14,_Requeridos!$A$10:$A$20,_Requeridos!$F$10:$F$20,"")="SI",G66=""),"Clase",""),IF(AND(_xlfn.XLOOKUP($C$14,_Requeridos!$A$10:$A$20,_Requeridos!$G$10:$G$20,"")="SI",H66=""),"Cantidad",""),IF(AND(_xlfn.XLOOKUP($C$14,_Requeridos!$A$10:$A$20,_Requeridos!$H$10:$H$20,"")="SI",I66=""),"Nombre principal AF",""),IF(AND(_xlfn.XLOOKUP($C$14,_Requeridos!$A$10:$A$20,_Requeridos!$I$10:$I$20,"")="SI",L66=""),"Fabricante",""),IF(AND(_xlfn.XLOOKUP($C$14,_Requeridos!$A$10:$A$20,_Requeridos!$J$10:$J$20,"")="SI",M66=""),"Nit Proveedor",""),IF(AND(_xlfn.XLOOKUP($C$14,_Requeridos!$A$10:$A$20,_Requeridos!$K$10:$K$20,"")="SI",N66=""),"Serie",""),IF(AND(_xlfn.XLOOKUP($C$14,_Requeridos!$A$10:$A$20,_Requeridos!$L$10:$L$20,"")="SI",P66=""),"Criterio Clas. 1",""),IF(AND(_xlfn.XLOOKUP($C$14,_Requeridos!$A$10:$A$20,_Requeridos!$M$10:$M$20,"")="SI",Q66=""),"Criterio Clas. 2",""),IF(AND(_xlfn.XLOOKUP($C$14,_Requeridos!$A$10:$A$20,_Requeridos!$N$10:$N$20,"")="SI",R66=""),"Criterio Clas. 3",""),IF(AND(_xlfn.XLOOKUP($C$14,_Requeridos!$A$10:$A$20,_Requeridos!$O$10:$O$20,"")="SI",S66=""),"Criterio Clas. 4",""),IF(AND(_xlfn.XLOOKUP($C$14,_Requeridos!$A$10:$A$20,_Requeridos!$P$10:$P$20,"")="SI",T66=""),"Criterio Clas. 5",""),IF(AND(_xlfn.XLOOKUP($C$14,_Requeridos!$A$10:$A$20,_Requeridos!$Q$10:$Q$20,"")="SI",U66=""),"Ubicación técnica",""),IF(AND(_xlfn.XLOOKUP($C$14,_Requeridos!$A$10:$A$20,_Requeridos!$R$10:$R$20,"")="SI",X66=""),"Centro",""),IF(AND(_xlfn.XLOOKUP($C$14,_Requeridos!$A$10:$A$20,_Requeridos!$S$10:$S$20,"")="SI",Y66=""),"Código País",""),IF(AND(_xlfn.XLOOKUP($C$14,_Requeridos!$A$10:$A$20,_Requeridos!$T$10:$T$20,"")="SI",Z66=""),"Emplazamiento",""),IF(AND(_xlfn.XLOOKUP($C$14,_Requeridos!$A$10:$A$20,_Requeridos!$U$10:$U$20,"")="SI",AB66=""),"Centro de Costo",""),IF(AND(_xlfn.XLOOKUP($C$14,_Requeridos!$A$10:$A$20,_Requeridos!$V$10:$V$20,"")="SI",AC66=""),"Número de personal",""),IF(AND(_xlfn.XLOOKUP($C$14,_Requeridos!$A$10:$A$20,_Requeridos!$W$10:$W$20,"")="SI",AH66=""),"Valor Unitario","")),"✅ Completo"))</f>
        <v/>
      </c>
      <c r="AK66" s="52"/>
    </row>
    <row r="67" spans="1:37" s="37" customFormat="1" x14ac:dyDescent="0.35">
      <c r="A67" s="31"/>
      <c r="B67" s="56">
        <v>46</v>
      </c>
      <c r="C67" s="57"/>
      <c r="D67" s="57"/>
      <c r="E67" s="57"/>
      <c r="F67" s="57"/>
      <c r="G67" s="58" t="str">
        <f>IFERROR(_xlfn.XLOOKUP(F67,Clase!$C$2:$C$292,Clase!$B$2:$B$292,""),"")</f>
        <v/>
      </c>
      <c r="H67" s="57"/>
      <c r="I67" s="59"/>
      <c r="J67" s="57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7"/>
      <c r="AC67" s="57"/>
      <c r="AD67" s="58" t="str">
        <f>IFERROR(_xlfn.XLOOKUP(AB67,Ceco!$B$2:$B$901,Ceco!$C$2:$C$901,""),"")</f>
        <v/>
      </c>
      <c r="AE67" s="57"/>
      <c r="AF67" s="57"/>
      <c r="AG67" s="60"/>
      <c r="AH67" s="57"/>
      <c r="AI67" s="61"/>
      <c r="AJ67" s="62" t="str">
        <f>IF(COUNTA(C67,D67,E67,F67,H67,I67,L67,M67,N67,P67,Q67,R67,S67,T67,U67,X67,Y67,Z67,AB67,AC67,AH67)=0,"",IF(LEN(_xlfn.TEXTJOIN(", ",TRUE,IF(AND(_xlfn.XLOOKUP($C$14,_Requeridos!$A$10:$A$20,_Requeridos!$B$10:$B$20,"")="SI",C67=""),"Orden de Inversión",""),IF(AND(_xlfn.XLOOKUP($C$14,_Requeridos!$A$10:$A$20,_Requeridos!$C$10:$C$20,"")="SI",D67=""),"Elemento PEP",""),IF(AND(_xlfn.XLOOKUP($C$14,_Requeridos!$A$10:$A$20,_Requeridos!$D$10:$D$20,"")="SI",E67=""),"Pedido",""),IF(AND(_xlfn.XLOOKUP($C$14,_Requeridos!$A$10:$A$20,_Requeridos!$E$10:$E$20,"")="SI",F67=""),"Descripción Activo SAP",""),IF(AND(_xlfn.XLOOKUP($C$14,_Requeridos!$A$10:$A$20,_Requeridos!$F$10:$F$20,"")="SI",G67=""),"Clase",""),IF(AND(_xlfn.XLOOKUP($C$14,_Requeridos!$A$10:$A$20,_Requeridos!$G$10:$G$20,"")="SI",H67=""),"Cantidad",""),IF(AND(_xlfn.XLOOKUP($C$14,_Requeridos!$A$10:$A$20,_Requeridos!$H$10:$H$20,"")="SI",I67=""),"Nombre principal AF",""),IF(AND(_xlfn.XLOOKUP($C$14,_Requeridos!$A$10:$A$20,_Requeridos!$I$10:$I$20,"")="SI",L67=""),"Fabricante",""),IF(AND(_xlfn.XLOOKUP($C$14,_Requeridos!$A$10:$A$20,_Requeridos!$J$10:$J$20,"")="SI",M67=""),"Nit Proveedor",""),IF(AND(_xlfn.XLOOKUP($C$14,_Requeridos!$A$10:$A$20,_Requeridos!$K$10:$K$20,"")="SI",N67=""),"Serie",""),IF(AND(_xlfn.XLOOKUP($C$14,_Requeridos!$A$10:$A$20,_Requeridos!$L$10:$L$20,"")="SI",P67=""),"Criterio Clas. 1",""),IF(AND(_xlfn.XLOOKUP($C$14,_Requeridos!$A$10:$A$20,_Requeridos!$M$10:$M$20,"")="SI",Q67=""),"Criterio Clas. 2",""),IF(AND(_xlfn.XLOOKUP($C$14,_Requeridos!$A$10:$A$20,_Requeridos!$N$10:$N$20,"")="SI",R67=""),"Criterio Clas. 3",""),IF(AND(_xlfn.XLOOKUP($C$14,_Requeridos!$A$10:$A$20,_Requeridos!$O$10:$O$20,"")="SI",S67=""),"Criterio Clas. 4",""),IF(AND(_xlfn.XLOOKUP($C$14,_Requeridos!$A$10:$A$20,_Requeridos!$P$10:$P$20,"")="SI",T67=""),"Criterio Clas. 5",""),IF(AND(_xlfn.XLOOKUP($C$14,_Requeridos!$A$10:$A$20,_Requeridos!$Q$10:$Q$20,"")="SI",U67=""),"Ubicación técnica",""),IF(AND(_xlfn.XLOOKUP($C$14,_Requeridos!$A$10:$A$20,_Requeridos!$R$10:$R$20,"")="SI",X67=""),"Centro",""),IF(AND(_xlfn.XLOOKUP($C$14,_Requeridos!$A$10:$A$20,_Requeridos!$S$10:$S$20,"")="SI",Y67=""),"Código País",""),IF(AND(_xlfn.XLOOKUP($C$14,_Requeridos!$A$10:$A$20,_Requeridos!$T$10:$T$20,"")="SI",Z67=""),"Emplazamiento",""),IF(AND(_xlfn.XLOOKUP($C$14,_Requeridos!$A$10:$A$20,_Requeridos!$U$10:$U$20,"")="SI",AB67=""),"Centro de Costo",""),IF(AND(_xlfn.XLOOKUP($C$14,_Requeridos!$A$10:$A$20,_Requeridos!$V$10:$V$20,"")="SI",AC67=""),"Número de personal",""),IF(AND(_xlfn.XLOOKUP($C$14,_Requeridos!$A$10:$A$20,_Requeridos!$W$10:$W$20,"")="SI",AH67=""),"Valor Unitario","")))&gt;0,"⚠️ Faltan: "&amp;_xlfn.TEXTJOIN(", ",TRUE,IF(AND(_xlfn.XLOOKUP($C$14,_Requeridos!$A$10:$A$20,_Requeridos!$B$10:$B$20,"")="SI",C67=""),"Orden de Inversión",""),IF(AND(_xlfn.XLOOKUP($C$14,_Requeridos!$A$10:$A$20,_Requeridos!$C$10:$C$20,"")="SI",D67=""),"Elemento PEP",""),IF(AND(_xlfn.XLOOKUP($C$14,_Requeridos!$A$10:$A$20,_Requeridos!$D$10:$D$20,"")="SI",E67=""),"Pedido",""),IF(AND(_xlfn.XLOOKUP($C$14,_Requeridos!$A$10:$A$20,_Requeridos!$E$10:$E$20,"")="SI",F67=""),"Descripción Activo SAP",""),IF(AND(_xlfn.XLOOKUP($C$14,_Requeridos!$A$10:$A$20,_Requeridos!$F$10:$F$20,"")="SI",G67=""),"Clase",""),IF(AND(_xlfn.XLOOKUP($C$14,_Requeridos!$A$10:$A$20,_Requeridos!$G$10:$G$20,"")="SI",H67=""),"Cantidad",""),IF(AND(_xlfn.XLOOKUP($C$14,_Requeridos!$A$10:$A$20,_Requeridos!$H$10:$H$20,"")="SI",I67=""),"Nombre principal AF",""),IF(AND(_xlfn.XLOOKUP($C$14,_Requeridos!$A$10:$A$20,_Requeridos!$I$10:$I$20,"")="SI",L67=""),"Fabricante",""),IF(AND(_xlfn.XLOOKUP($C$14,_Requeridos!$A$10:$A$20,_Requeridos!$J$10:$J$20,"")="SI",M67=""),"Nit Proveedor",""),IF(AND(_xlfn.XLOOKUP($C$14,_Requeridos!$A$10:$A$20,_Requeridos!$K$10:$K$20,"")="SI",N67=""),"Serie",""),IF(AND(_xlfn.XLOOKUP($C$14,_Requeridos!$A$10:$A$20,_Requeridos!$L$10:$L$20,"")="SI",P67=""),"Criterio Clas. 1",""),IF(AND(_xlfn.XLOOKUP($C$14,_Requeridos!$A$10:$A$20,_Requeridos!$M$10:$M$20,"")="SI",Q67=""),"Criterio Clas. 2",""),IF(AND(_xlfn.XLOOKUP($C$14,_Requeridos!$A$10:$A$20,_Requeridos!$N$10:$N$20,"")="SI",R67=""),"Criterio Clas. 3",""),IF(AND(_xlfn.XLOOKUP($C$14,_Requeridos!$A$10:$A$20,_Requeridos!$O$10:$O$20,"")="SI",S67=""),"Criterio Clas. 4",""),IF(AND(_xlfn.XLOOKUP($C$14,_Requeridos!$A$10:$A$20,_Requeridos!$P$10:$P$20,"")="SI",T67=""),"Criterio Clas. 5",""),IF(AND(_xlfn.XLOOKUP($C$14,_Requeridos!$A$10:$A$20,_Requeridos!$Q$10:$Q$20,"")="SI",U67=""),"Ubicación técnica",""),IF(AND(_xlfn.XLOOKUP($C$14,_Requeridos!$A$10:$A$20,_Requeridos!$R$10:$R$20,"")="SI",X67=""),"Centro",""),IF(AND(_xlfn.XLOOKUP($C$14,_Requeridos!$A$10:$A$20,_Requeridos!$S$10:$S$20,"")="SI",Y67=""),"Código País",""),IF(AND(_xlfn.XLOOKUP($C$14,_Requeridos!$A$10:$A$20,_Requeridos!$T$10:$T$20,"")="SI",Z67=""),"Emplazamiento",""),IF(AND(_xlfn.XLOOKUP($C$14,_Requeridos!$A$10:$A$20,_Requeridos!$U$10:$U$20,"")="SI",AB67=""),"Centro de Costo",""),IF(AND(_xlfn.XLOOKUP($C$14,_Requeridos!$A$10:$A$20,_Requeridos!$V$10:$V$20,"")="SI",AC67=""),"Número de personal",""),IF(AND(_xlfn.XLOOKUP($C$14,_Requeridos!$A$10:$A$20,_Requeridos!$W$10:$W$20,"")="SI",AH67=""),"Valor Unitario","")),"✅ Completo"))</f>
        <v/>
      </c>
      <c r="AK67" s="52"/>
    </row>
    <row r="68" spans="1:37" s="37" customFormat="1" x14ac:dyDescent="0.35">
      <c r="A68" s="31"/>
      <c r="B68" s="56">
        <v>47</v>
      </c>
      <c r="C68" s="57"/>
      <c r="D68" s="57"/>
      <c r="E68" s="57"/>
      <c r="F68" s="57"/>
      <c r="G68" s="58" t="str">
        <f>IFERROR(_xlfn.XLOOKUP(F68,Clase!$C$2:$C$292,Clase!$B$2:$B$292,""),"")</f>
        <v/>
      </c>
      <c r="H68" s="57"/>
      <c r="I68" s="59"/>
      <c r="J68" s="57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7"/>
      <c r="AC68" s="57"/>
      <c r="AD68" s="58" t="str">
        <f>IFERROR(_xlfn.XLOOKUP(AB68,Ceco!$B$2:$B$901,Ceco!$C$2:$C$901,""),"")</f>
        <v/>
      </c>
      <c r="AE68" s="57"/>
      <c r="AF68" s="57"/>
      <c r="AG68" s="60"/>
      <c r="AH68" s="57"/>
      <c r="AI68" s="61"/>
      <c r="AJ68" s="62" t="str">
        <f>IF(COUNTA(C68,D68,E68,F68,H68,I68,L68,M68,N68,P68,Q68,R68,S68,T68,U68,X68,Y68,Z68,AB68,AC68,AH68)=0,"",IF(LEN(_xlfn.TEXTJOIN(", ",TRUE,IF(AND(_xlfn.XLOOKUP($C$14,_Requeridos!$A$10:$A$20,_Requeridos!$B$10:$B$20,"")="SI",C68=""),"Orden de Inversión",""),IF(AND(_xlfn.XLOOKUP($C$14,_Requeridos!$A$10:$A$20,_Requeridos!$C$10:$C$20,"")="SI",D68=""),"Elemento PEP",""),IF(AND(_xlfn.XLOOKUP($C$14,_Requeridos!$A$10:$A$20,_Requeridos!$D$10:$D$20,"")="SI",E68=""),"Pedido",""),IF(AND(_xlfn.XLOOKUP($C$14,_Requeridos!$A$10:$A$20,_Requeridos!$E$10:$E$20,"")="SI",F68=""),"Descripción Activo SAP",""),IF(AND(_xlfn.XLOOKUP($C$14,_Requeridos!$A$10:$A$20,_Requeridos!$F$10:$F$20,"")="SI",G68=""),"Clase",""),IF(AND(_xlfn.XLOOKUP($C$14,_Requeridos!$A$10:$A$20,_Requeridos!$G$10:$G$20,"")="SI",H68=""),"Cantidad",""),IF(AND(_xlfn.XLOOKUP($C$14,_Requeridos!$A$10:$A$20,_Requeridos!$H$10:$H$20,"")="SI",I68=""),"Nombre principal AF",""),IF(AND(_xlfn.XLOOKUP($C$14,_Requeridos!$A$10:$A$20,_Requeridos!$I$10:$I$20,"")="SI",L68=""),"Fabricante",""),IF(AND(_xlfn.XLOOKUP($C$14,_Requeridos!$A$10:$A$20,_Requeridos!$J$10:$J$20,"")="SI",M68=""),"Nit Proveedor",""),IF(AND(_xlfn.XLOOKUP($C$14,_Requeridos!$A$10:$A$20,_Requeridos!$K$10:$K$20,"")="SI",N68=""),"Serie",""),IF(AND(_xlfn.XLOOKUP($C$14,_Requeridos!$A$10:$A$20,_Requeridos!$L$10:$L$20,"")="SI",P68=""),"Criterio Clas. 1",""),IF(AND(_xlfn.XLOOKUP($C$14,_Requeridos!$A$10:$A$20,_Requeridos!$M$10:$M$20,"")="SI",Q68=""),"Criterio Clas. 2",""),IF(AND(_xlfn.XLOOKUP($C$14,_Requeridos!$A$10:$A$20,_Requeridos!$N$10:$N$20,"")="SI",R68=""),"Criterio Clas. 3",""),IF(AND(_xlfn.XLOOKUP($C$14,_Requeridos!$A$10:$A$20,_Requeridos!$O$10:$O$20,"")="SI",S68=""),"Criterio Clas. 4",""),IF(AND(_xlfn.XLOOKUP($C$14,_Requeridos!$A$10:$A$20,_Requeridos!$P$10:$P$20,"")="SI",T68=""),"Criterio Clas. 5",""),IF(AND(_xlfn.XLOOKUP($C$14,_Requeridos!$A$10:$A$20,_Requeridos!$Q$10:$Q$20,"")="SI",U68=""),"Ubicación técnica",""),IF(AND(_xlfn.XLOOKUP($C$14,_Requeridos!$A$10:$A$20,_Requeridos!$R$10:$R$20,"")="SI",X68=""),"Centro",""),IF(AND(_xlfn.XLOOKUP($C$14,_Requeridos!$A$10:$A$20,_Requeridos!$S$10:$S$20,"")="SI",Y68=""),"Código País",""),IF(AND(_xlfn.XLOOKUP($C$14,_Requeridos!$A$10:$A$20,_Requeridos!$T$10:$T$20,"")="SI",Z68=""),"Emplazamiento",""),IF(AND(_xlfn.XLOOKUP($C$14,_Requeridos!$A$10:$A$20,_Requeridos!$U$10:$U$20,"")="SI",AB68=""),"Centro de Costo",""),IF(AND(_xlfn.XLOOKUP($C$14,_Requeridos!$A$10:$A$20,_Requeridos!$V$10:$V$20,"")="SI",AC68=""),"Número de personal",""),IF(AND(_xlfn.XLOOKUP($C$14,_Requeridos!$A$10:$A$20,_Requeridos!$W$10:$W$20,"")="SI",AH68=""),"Valor Unitario","")))&gt;0,"⚠️ Faltan: "&amp;_xlfn.TEXTJOIN(", ",TRUE,IF(AND(_xlfn.XLOOKUP($C$14,_Requeridos!$A$10:$A$20,_Requeridos!$B$10:$B$20,"")="SI",C68=""),"Orden de Inversión",""),IF(AND(_xlfn.XLOOKUP($C$14,_Requeridos!$A$10:$A$20,_Requeridos!$C$10:$C$20,"")="SI",D68=""),"Elemento PEP",""),IF(AND(_xlfn.XLOOKUP($C$14,_Requeridos!$A$10:$A$20,_Requeridos!$D$10:$D$20,"")="SI",E68=""),"Pedido",""),IF(AND(_xlfn.XLOOKUP($C$14,_Requeridos!$A$10:$A$20,_Requeridos!$E$10:$E$20,"")="SI",F68=""),"Descripción Activo SAP",""),IF(AND(_xlfn.XLOOKUP($C$14,_Requeridos!$A$10:$A$20,_Requeridos!$F$10:$F$20,"")="SI",G68=""),"Clase",""),IF(AND(_xlfn.XLOOKUP($C$14,_Requeridos!$A$10:$A$20,_Requeridos!$G$10:$G$20,"")="SI",H68=""),"Cantidad",""),IF(AND(_xlfn.XLOOKUP($C$14,_Requeridos!$A$10:$A$20,_Requeridos!$H$10:$H$20,"")="SI",I68=""),"Nombre principal AF",""),IF(AND(_xlfn.XLOOKUP($C$14,_Requeridos!$A$10:$A$20,_Requeridos!$I$10:$I$20,"")="SI",L68=""),"Fabricante",""),IF(AND(_xlfn.XLOOKUP($C$14,_Requeridos!$A$10:$A$20,_Requeridos!$J$10:$J$20,"")="SI",M68=""),"Nit Proveedor",""),IF(AND(_xlfn.XLOOKUP($C$14,_Requeridos!$A$10:$A$20,_Requeridos!$K$10:$K$20,"")="SI",N68=""),"Serie",""),IF(AND(_xlfn.XLOOKUP($C$14,_Requeridos!$A$10:$A$20,_Requeridos!$L$10:$L$20,"")="SI",P68=""),"Criterio Clas. 1",""),IF(AND(_xlfn.XLOOKUP($C$14,_Requeridos!$A$10:$A$20,_Requeridos!$M$10:$M$20,"")="SI",Q68=""),"Criterio Clas. 2",""),IF(AND(_xlfn.XLOOKUP($C$14,_Requeridos!$A$10:$A$20,_Requeridos!$N$10:$N$20,"")="SI",R68=""),"Criterio Clas. 3",""),IF(AND(_xlfn.XLOOKUP($C$14,_Requeridos!$A$10:$A$20,_Requeridos!$O$10:$O$20,"")="SI",S68=""),"Criterio Clas. 4",""),IF(AND(_xlfn.XLOOKUP($C$14,_Requeridos!$A$10:$A$20,_Requeridos!$P$10:$P$20,"")="SI",T68=""),"Criterio Clas. 5",""),IF(AND(_xlfn.XLOOKUP($C$14,_Requeridos!$A$10:$A$20,_Requeridos!$Q$10:$Q$20,"")="SI",U68=""),"Ubicación técnica",""),IF(AND(_xlfn.XLOOKUP($C$14,_Requeridos!$A$10:$A$20,_Requeridos!$R$10:$R$20,"")="SI",X68=""),"Centro",""),IF(AND(_xlfn.XLOOKUP($C$14,_Requeridos!$A$10:$A$20,_Requeridos!$S$10:$S$20,"")="SI",Y68=""),"Código País",""),IF(AND(_xlfn.XLOOKUP($C$14,_Requeridos!$A$10:$A$20,_Requeridos!$T$10:$T$20,"")="SI",Z68=""),"Emplazamiento",""),IF(AND(_xlfn.XLOOKUP($C$14,_Requeridos!$A$10:$A$20,_Requeridos!$U$10:$U$20,"")="SI",AB68=""),"Centro de Costo",""),IF(AND(_xlfn.XLOOKUP($C$14,_Requeridos!$A$10:$A$20,_Requeridos!$V$10:$V$20,"")="SI",AC68=""),"Número de personal",""),IF(AND(_xlfn.XLOOKUP($C$14,_Requeridos!$A$10:$A$20,_Requeridos!$W$10:$W$20,"")="SI",AH68=""),"Valor Unitario","")),"✅ Completo"))</f>
        <v/>
      </c>
      <c r="AK68" s="52"/>
    </row>
    <row r="69" spans="1:37" s="37" customFormat="1" x14ac:dyDescent="0.35">
      <c r="A69" s="31"/>
      <c r="B69" s="56">
        <v>48</v>
      </c>
      <c r="C69" s="57"/>
      <c r="D69" s="57"/>
      <c r="E69" s="57"/>
      <c r="F69" s="57"/>
      <c r="G69" s="58" t="str">
        <f>IFERROR(_xlfn.XLOOKUP(F69,Clase!$C$2:$C$292,Clase!$B$2:$B$292,""),"")</f>
        <v/>
      </c>
      <c r="H69" s="57"/>
      <c r="I69" s="59"/>
      <c r="J69" s="57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7"/>
      <c r="AC69" s="57"/>
      <c r="AD69" s="58" t="str">
        <f>IFERROR(_xlfn.XLOOKUP(AB69,Ceco!$B$2:$B$901,Ceco!$C$2:$C$901,""),"")</f>
        <v/>
      </c>
      <c r="AE69" s="57"/>
      <c r="AF69" s="57"/>
      <c r="AG69" s="60"/>
      <c r="AH69" s="57"/>
      <c r="AI69" s="61"/>
      <c r="AJ69" s="62" t="str">
        <f>IF(COUNTA(C69,D69,E69,F69,H69,I69,L69,M69,N69,P69,Q69,R69,S69,T69,U69,X69,Y69,Z69,AB69,AC69,AH69)=0,"",IF(LEN(_xlfn.TEXTJOIN(", ",TRUE,IF(AND(_xlfn.XLOOKUP($C$14,_Requeridos!$A$10:$A$20,_Requeridos!$B$10:$B$20,"")="SI",C69=""),"Orden de Inversión",""),IF(AND(_xlfn.XLOOKUP($C$14,_Requeridos!$A$10:$A$20,_Requeridos!$C$10:$C$20,"")="SI",D69=""),"Elemento PEP",""),IF(AND(_xlfn.XLOOKUP($C$14,_Requeridos!$A$10:$A$20,_Requeridos!$D$10:$D$20,"")="SI",E69=""),"Pedido",""),IF(AND(_xlfn.XLOOKUP($C$14,_Requeridos!$A$10:$A$20,_Requeridos!$E$10:$E$20,"")="SI",F69=""),"Descripción Activo SAP",""),IF(AND(_xlfn.XLOOKUP($C$14,_Requeridos!$A$10:$A$20,_Requeridos!$F$10:$F$20,"")="SI",G69=""),"Clase",""),IF(AND(_xlfn.XLOOKUP($C$14,_Requeridos!$A$10:$A$20,_Requeridos!$G$10:$G$20,"")="SI",H69=""),"Cantidad",""),IF(AND(_xlfn.XLOOKUP($C$14,_Requeridos!$A$10:$A$20,_Requeridos!$H$10:$H$20,"")="SI",I69=""),"Nombre principal AF",""),IF(AND(_xlfn.XLOOKUP($C$14,_Requeridos!$A$10:$A$20,_Requeridos!$I$10:$I$20,"")="SI",L69=""),"Fabricante",""),IF(AND(_xlfn.XLOOKUP($C$14,_Requeridos!$A$10:$A$20,_Requeridos!$J$10:$J$20,"")="SI",M69=""),"Nit Proveedor",""),IF(AND(_xlfn.XLOOKUP($C$14,_Requeridos!$A$10:$A$20,_Requeridos!$K$10:$K$20,"")="SI",N69=""),"Serie",""),IF(AND(_xlfn.XLOOKUP($C$14,_Requeridos!$A$10:$A$20,_Requeridos!$L$10:$L$20,"")="SI",P69=""),"Criterio Clas. 1",""),IF(AND(_xlfn.XLOOKUP($C$14,_Requeridos!$A$10:$A$20,_Requeridos!$M$10:$M$20,"")="SI",Q69=""),"Criterio Clas. 2",""),IF(AND(_xlfn.XLOOKUP($C$14,_Requeridos!$A$10:$A$20,_Requeridos!$N$10:$N$20,"")="SI",R69=""),"Criterio Clas. 3",""),IF(AND(_xlfn.XLOOKUP($C$14,_Requeridos!$A$10:$A$20,_Requeridos!$O$10:$O$20,"")="SI",S69=""),"Criterio Clas. 4",""),IF(AND(_xlfn.XLOOKUP($C$14,_Requeridos!$A$10:$A$20,_Requeridos!$P$10:$P$20,"")="SI",T69=""),"Criterio Clas. 5",""),IF(AND(_xlfn.XLOOKUP($C$14,_Requeridos!$A$10:$A$20,_Requeridos!$Q$10:$Q$20,"")="SI",U69=""),"Ubicación técnica",""),IF(AND(_xlfn.XLOOKUP($C$14,_Requeridos!$A$10:$A$20,_Requeridos!$R$10:$R$20,"")="SI",X69=""),"Centro",""),IF(AND(_xlfn.XLOOKUP($C$14,_Requeridos!$A$10:$A$20,_Requeridos!$S$10:$S$20,"")="SI",Y69=""),"Código País",""),IF(AND(_xlfn.XLOOKUP($C$14,_Requeridos!$A$10:$A$20,_Requeridos!$T$10:$T$20,"")="SI",Z69=""),"Emplazamiento",""),IF(AND(_xlfn.XLOOKUP($C$14,_Requeridos!$A$10:$A$20,_Requeridos!$U$10:$U$20,"")="SI",AB69=""),"Centro de Costo",""),IF(AND(_xlfn.XLOOKUP($C$14,_Requeridos!$A$10:$A$20,_Requeridos!$V$10:$V$20,"")="SI",AC69=""),"Número de personal",""),IF(AND(_xlfn.XLOOKUP($C$14,_Requeridos!$A$10:$A$20,_Requeridos!$W$10:$W$20,"")="SI",AH69=""),"Valor Unitario","")))&gt;0,"⚠️ Faltan: "&amp;_xlfn.TEXTJOIN(", ",TRUE,IF(AND(_xlfn.XLOOKUP($C$14,_Requeridos!$A$10:$A$20,_Requeridos!$B$10:$B$20,"")="SI",C69=""),"Orden de Inversión",""),IF(AND(_xlfn.XLOOKUP($C$14,_Requeridos!$A$10:$A$20,_Requeridos!$C$10:$C$20,"")="SI",D69=""),"Elemento PEP",""),IF(AND(_xlfn.XLOOKUP($C$14,_Requeridos!$A$10:$A$20,_Requeridos!$D$10:$D$20,"")="SI",E69=""),"Pedido",""),IF(AND(_xlfn.XLOOKUP($C$14,_Requeridos!$A$10:$A$20,_Requeridos!$E$10:$E$20,"")="SI",F69=""),"Descripción Activo SAP",""),IF(AND(_xlfn.XLOOKUP($C$14,_Requeridos!$A$10:$A$20,_Requeridos!$F$10:$F$20,"")="SI",G69=""),"Clase",""),IF(AND(_xlfn.XLOOKUP($C$14,_Requeridos!$A$10:$A$20,_Requeridos!$G$10:$G$20,"")="SI",H69=""),"Cantidad",""),IF(AND(_xlfn.XLOOKUP($C$14,_Requeridos!$A$10:$A$20,_Requeridos!$H$10:$H$20,"")="SI",I69=""),"Nombre principal AF",""),IF(AND(_xlfn.XLOOKUP($C$14,_Requeridos!$A$10:$A$20,_Requeridos!$I$10:$I$20,"")="SI",L69=""),"Fabricante",""),IF(AND(_xlfn.XLOOKUP($C$14,_Requeridos!$A$10:$A$20,_Requeridos!$J$10:$J$20,"")="SI",M69=""),"Nit Proveedor",""),IF(AND(_xlfn.XLOOKUP($C$14,_Requeridos!$A$10:$A$20,_Requeridos!$K$10:$K$20,"")="SI",N69=""),"Serie",""),IF(AND(_xlfn.XLOOKUP($C$14,_Requeridos!$A$10:$A$20,_Requeridos!$L$10:$L$20,"")="SI",P69=""),"Criterio Clas. 1",""),IF(AND(_xlfn.XLOOKUP($C$14,_Requeridos!$A$10:$A$20,_Requeridos!$M$10:$M$20,"")="SI",Q69=""),"Criterio Clas. 2",""),IF(AND(_xlfn.XLOOKUP($C$14,_Requeridos!$A$10:$A$20,_Requeridos!$N$10:$N$20,"")="SI",R69=""),"Criterio Clas. 3",""),IF(AND(_xlfn.XLOOKUP($C$14,_Requeridos!$A$10:$A$20,_Requeridos!$O$10:$O$20,"")="SI",S69=""),"Criterio Clas. 4",""),IF(AND(_xlfn.XLOOKUP($C$14,_Requeridos!$A$10:$A$20,_Requeridos!$P$10:$P$20,"")="SI",T69=""),"Criterio Clas. 5",""),IF(AND(_xlfn.XLOOKUP($C$14,_Requeridos!$A$10:$A$20,_Requeridos!$Q$10:$Q$20,"")="SI",U69=""),"Ubicación técnica",""),IF(AND(_xlfn.XLOOKUP($C$14,_Requeridos!$A$10:$A$20,_Requeridos!$R$10:$R$20,"")="SI",X69=""),"Centro",""),IF(AND(_xlfn.XLOOKUP($C$14,_Requeridos!$A$10:$A$20,_Requeridos!$S$10:$S$20,"")="SI",Y69=""),"Código País",""),IF(AND(_xlfn.XLOOKUP($C$14,_Requeridos!$A$10:$A$20,_Requeridos!$T$10:$T$20,"")="SI",Z69=""),"Emplazamiento",""),IF(AND(_xlfn.XLOOKUP($C$14,_Requeridos!$A$10:$A$20,_Requeridos!$U$10:$U$20,"")="SI",AB69=""),"Centro de Costo",""),IF(AND(_xlfn.XLOOKUP($C$14,_Requeridos!$A$10:$A$20,_Requeridos!$V$10:$V$20,"")="SI",AC69=""),"Número de personal",""),IF(AND(_xlfn.XLOOKUP($C$14,_Requeridos!$A$10:$A$20,_Requeridos!$W$10:$W$20,"")="SI",AH69=""),"Valor Unitario","")),"✅ Completo"))</f>
        <v/>
      </c>
      <c r="AK69" s="52"/>
    </row>
    <row r="70" spans="1:37" s="37" customFormat="1" x14ac:dyDescent="0.35">
      <c r="A70" s="31"/>
      <c r="B70" s="56">
        <v>49</v>
      </c>
      <c r="C70" s="57"/>
      <c r="D70" s="57"/>
      <c r="E70" s="57"/>
      <c r="F70" s="57"/>
      <c r="G70" s="58" t="str">
        <f>IFERROR(_xlfn.XLOOKUP(F70,Clase!$C$2:$C$292,Clase!$B$2:$B$292,""),"")</f>
        <v/>
      </c>
      <c r="H70" s="57"/>
      <c r="I70" s="59"/>
      <c r="J70" s="57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7"/>
      <c r="AC70" s="57"/>
      <c r="AD70" s="58" t="str">
        <f>IFERROR(_xlfn.XLOOKUP(AB70,Ceco!$B$2:$B$901,Ceco!$C$2:$C$901,""),"")</f>
        <v/>
      </c>
      <c r="AE70" s="57"/>
      <c r="AF70" s="57"/>
      <c r="AG70" s="60"/>
      <c r="AH70" s="57"/>
      <c r="AI70" s="61"/>
      <c r="AJ70" s="62" t="str">
        <f>IF(COUNTA(C70,D70,E70,F70,H70,I70,L70,M70,N70,P70,Q70,R70,S70,T70,U70,X70,Y70,Z70,AB70,AC70,AH70)=0,"",IF(LEN(_xlfn.TEXTJOIN(", ",TRUE,IF(AND(_xlfn.XLOOKUP($C$14,_Requeridos!$A$10:$A$20,_Requeridos!$B$10:$B$20,"")="SI",C70=""),"Orden de Inversión",""),IF(AND(_xlfn.XLOOKUP($C$14,_Requeridos!$A$10:$A$20,_Requeridos!$C$10:$C$20,"")="SI",D70=""),"Elemento PEP",""),IF(AND(_xlfn.XLOOKUP($C$14,_Requeridos!$A$10:$A$20,_Requeridos!$D$10:$D$20,"")="SI",E70=""),"Pedido",""),IF(AND(_xlfn.XLOOKUP($C$14,_Requeridos!$A$10:$A$20,_Requeridos!$E$10:$E$20,"")="SI",F70=""),"Descripción Activo SAP",""),IF(AND(_xlfn.XLOOKUP($C$14,_Requeridos!$A$10:$A$20,_Requeridos!$F$10:$F$20,"")="SI",G70=""),"Clase",""),IF(AND(_xlfn.XLOOKUP($C$14,_Requeridos!$A$10:$A$20,_Requeridos!$G$10:$G$20,"")="SI",H70=""),"Cantidad",""),IF(AND(_xlfn.XLOOKUP($C$14,_Requeridos!$A$10:$A$20,_Requeridos!$H$10:$H$20,"")="SI",I70=""),"Nombre principal AF",""),IF(AND(_xlfn.XLOOKUP($C$14,_Requeridos!$A$10:$A$20,_Requeridos!$I$10:$I$20,"")="SI",L70=""),"Fabricante",""),IF(AND(_xlfn.XLOOKUP($C$14,_Requeridos!$A$10:$A$20,_Requeridos!$J$10:$J$20,"")="SI",M70=""),"Nit Proveedor",""),IF(AND(_xlfn.XLOOKUP($C$14,_Requeridos!$A$10:$A$20,_Requeridos!$K$10:$K$20,"")="SI",N70=""),"Serie",""),IF(AND(_xlfn.XLOOKUP($C$14,_Requeridos!$A$10:$A$20,_Requeridos!$L$10:$L$20,"")="SI",P70=""),"Criterio Clas. 1",""),IF(AND(_xlfn.XLOOKUP($C$14,_Requeridos!$A$10:$A$20,_Requeridos!$M$10:$M$20,"")="SI",Q70=""),"Criterio Clas. 2",""),IF(AND(_xlfn.XLOOKUP($C$14,_Requeridos!$A$10:$A$20,_Requeridos!$N$10:$N$20,"")="SI",R70=""),"Criterio Clas. 3",""),IF(AND(_xlfn.XLOOKUP($C$14,_Requeridos!$A$10:$A$20,_Requeridos!$O$10:$O$20,"")="SI",S70=""),"Criterio Clas. 4",""),IF(AND(_xlfn.XLOOKUP($C$14,_Requeridos!$A$10:$A$20,_Requeridos!$P$10:$P$20,"")="SI",T70=""),"Criterio Clas. 5",""),IF(AND(_xlfn.XLOOKUP($C$14,_Requeridos!$A$10:$A$20,_Requeridos!$Q$10:$Q$20,"")="SI",U70=""),"Ubicación técnica",""),IF(AND(_xlfn.XLOOKUP($C$14,_Requeridos!$A$10:$A$20,_Requeridos!$R$10:$R$20,"")="SI",X70=""),"Centro",""),IF(AND(_xlfn.XLOOKUP($C$14,_Requeridos!$A$10:$A$20,_Requeridos!$S$10:$S$20,"")="SI",Y70=""),"Código País",""),IF(AND(_xlfn.XLOOKUP($C$14,_Requeridos!$A$10:$A$20,_Requeridos!$T$10:$T$20,"")="SI",Z70=""),"Emplazamiento",""),IF(AND(_xlfn.XLOOKUP($C$14,_Requeridos!$A$10:$A$20,_Requeridos!$U$10:$U$20,"")="SI",AB70=""),"Centro de Costo",""),IF(AND(_xlfn.XLOOKUP($C$14,_Requeridos!$A$10:$A$20,_Requeridos!$V$10:$V$20,"")="SI",AC70=""),"Número de personal",""),IF(AND(_xlfn.XLOOKUP($C$14,_Requeridos!$A$10:$A$20,_Requeridos!$W$10:$W$20,"")="SI",AH70=""),"Valor Unitario","")))&gt;0,"⚠️ Faltan: "&amp;_xlfn.TEXTJOIN(", ",TRUE,IF(AND(_xlfn.XLOOKUP($C$14,_Requeridos!$A$10:$A$20,_Requeridos!$B$10:$B$20,"")="SI",C70=""),"Orden de Inversión",""),IF(AND(_xlfn.XLOOKUP($C$14,_Requeridos!$A$10:$A$20,_Requeridos!$C$10:$C$20,"")="SI",D70=""),"Elemento PEP",""),IF(AND(_xlfn.XLOOKUP($C$14,_Requeridos!$A$10:$A$20,_Requeridos!$D$10:$D$20,"")="SI",E70=""),"Pedido",""),IF(AND(_xlfn.XLOOKUP($C$14,_Requeridos!$A$10:$A$20,_Requeridos!$E$10:$E$20,"")="SI",F70=""),"Descripción Activo SAP",""),IF(AND(_xlfn.XLOOKUP($C$14,_Requeridos!$A$10:$A$20,_Requeridos!$F$10:$F$20,"")="SI",G70=""),"Clase",""),IF(AND(_xlfn.XLOOKUP($C$14,_Requeridos!$A$10:$A$20,_Requeridos!$G$10:$G$20,"")="SI",H70=""),"Cantidad",""),IF(AND(_xlfn.XLOOKUP($C$14,_Requeridos!$A$10:$A$20,_Requeridos!$H$10:$H$20,"")="SI",I70=""),"Nombre principal AF",""),IF(AND(_xlfn.XLOOKUP($C$14,_Requeridos!$A$10:$A$20,_Requeridos!$I$10:$I$20,"")="SI",L70=""),"Fabricante",""),IF(AND(_xlfn.XLOOKUP($C$14,_Requeridos!$A$10:$A$20,_Requeridos!$J$10:$J$20,"")="SI",M70=""),"Nit Proveedor",""),IF(AND(_xlfn.XLOOKUP($C$14,_Requeridos!$A$10:$A$20,_Requeridos!$K$10:$K$20,"")="SI",N70=""),"Serie",""),IF(AND(_xlfn.XLOOKUP($C$14,_Requeridos!$A$10:$A$20,_Requeridos!$L$10:$L$20,"")="SI",P70=""),"Criterio Clas. 1",""),IF(AND(_xlfn.XLOOKUP($C$14,_Requeridos!$A$10:$A$20,_Requeridos!$M$10:$M$20,"")="SI",Q70=""),"Criterio Clas. 2",""),IF(AND(_xlfn.XLOOKUP($C$14,_Requeridos!$A$10:$A$20,_Requeridos!$N$10:$N$20,"")="SI",R70=""),"Criterio Clas. 3",""),IF(AND(_xlfn.XLOOKUP($C$14,_Requeridos!$A$10:$A$20,_Requeridos!$O$10:$O$20,"")="SI",S70=""),"Criterio Clas. 4",""),IF(AND(_xlfn.XLOOKUP($C$14,_Requeridos!$A$10:$A$20,_Requeridos!$P$10:$P$20,"")="SI",T70=""),"Criterio Clas. 5",""),IF(AND(_xlfn.XLOOKUP($C$14,_Requeridos!$A$10:$A$20,_Requeridos!$Q$10:$Q$20,"")="SI",U70=""),"Ubicación técnica",""),IF(AND(_xlfn.XLOOKUP($C$14,_Requeridos!$A$10:$A$20,_Requeridos!$R$10:$R$20,"")="SI",X70=""),"Centro",""),IF(AND(_xlfn.XLOOKUP($C$14,_Requeridos!$A$10:$A$20,_Requeridos!$S$10:$S$20,"")="SI",Y70=""),"Código País",""),IF(AND(_xlfn.XLOOKUP($C$14,_Requeridos!$A$10:$A$20,_Requeridos!$T$10:$T$20,"")="SI",Z70=""),"Emplazamiento",""),IF(AND(_xlfn.XLOOKUP($C$14,_Requeridos!$A$10:$A$20,_Requeridos!$U$10:$U$20,"")="SI",AB70=""),"Centro de Costo",""),IF(AND(_xlfn.XLOOKUP($C$14,_Requeridos!$A$10:$A$20,_Requeridos!$V$10:$V$20,"")="SI",AC70=""),"Número de personal",""),IF(AND(_xlfn.XLOOKUP($C$14,_Requeridos!$A$10:$A$20,_Requeridos!$W$10:$W$20,"")="SI",AH70=""),"Valor Unitario","")),"✅ Completo"))</f>
        <v/>
      </c>
      <c r="AK70" s="52"/>
    </row>
    <row r="71" spans="1:37" s="37" customFormat="1" x14ac:dyDescent="0.35">
      <c r="A71" s="31"/>
      <c r="B71" s="56">
        <v>50</v>
      </c>
      <c r="C71" s="57"/>
      <c r="D71" s="57"/>
      <c r="E71" s="57"/>
      <c r="F71" s="57"/>
      <c r="G71" s="58" t="str">
        <f>IFERROR(_xlfn.XLOOKUP(F71,Clase!$C$2:$C$292,Clase!$B$2:$B$292,""),"")</f>
        <v/>
      </c>
      <c r="H71" s="57"/>
      <c r="I71" s="59"/>
      <c r="J71" s="57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7"/>
      <c r="AC71" s="57"/>
      <c r="AD71" s="58" t="str">
        <f>IFERROR(_xlfn.XLOOKUP(AB71,Ceco!$B$2:$B$901,Ceco!$C$2:$C$901,""),"")</f>
        <v/>
      </c>
      <c r="AE71" s="57"/>
      <c r="AF71" s="57"/>
      <c r="AG71" s="60"/>
      <c r="AH71" s="57"/>
      <c r="AI71" s="61"/>
      <c r="AJ71" s="62" t="str">
        <f>IF(COUNTA(C71,D71,E71,F71,H71,I71,L71,M71,N71,P71,Q71,R71,S71,T71,U71,X71,Y71,Z71,AB71,AC71,AH71)=0,"",IF(LEN(_xlfn.TEXTJOIN(", ",TRUE,IF(AND(_xlfn.XLOOKUP($C$14,_Requeridos!$A$10:$A$20,_Requeridos!$B$10:$B$20,"")="SI",C71=""),"Orden de Inversión",""),IF(AND(_xlfn.XLOOKUP($C$14,_Requeridos!$A$10:$A$20,_Requeridos!$C$10:$C$20,"")="SI",D71=""),"Elemento PEP",""),IF(AND(_xlfn.XLOOKUP($C$14,_Requeridos!$A$10:$A$20,_Requeridos!$D$10:$D$20,"")="SI",E71=""),"Pedido",""),IF(AND(_xlfn.XLOOKUP($C$14,_Requeridos!$A$10:$A$20,_Requeridos!$E$10:$E$20,"")="SI",F71=""),"Descripción Activo SAP",""),IF(AND(_xlfn.XLOOKUP($C$14,_Requeridos!$A$10:$A$20,_Requeridos!$F$10:$F$20,"")="SI",G71=""),"Clase",""),IF(AND(_xlfn.XLOOKUP($C$14,_Requeridos!$A$10:$A$20,_Requeridos!$G$10:$G$20,"")="SI",H71=""),"Cantidad",""),IF(AND(_xlfn.XLOOKUP($C$14,_Requeridos!$A$10:$A$20,_Requeridos!$H$10:$H$20,"")="SI",I71=""),"Nombre principal AF",""),IF(AND(_xlfn.XLOOKUP($C$14,_Requeridos!$A$10:$A$20,_Requeridos!$I$10:$I$20,"")="SI",L71=""),"Fabricante",""),IF(AND(_xlfn.XLOOKUP($C$14,_Requeridos!$A$10:$A$20,_Requeridos!$J$10:$J$20,"")="SI",M71=""),"Nit Proveedor",""),IF(AND(_xlfn.XLOOKUP($C$14,_Requeridos!$A$10:$A$20,_Requeridos!$K$10:$K$20,"")="SI",N71=""),"Serie",""),IF(AND(_xlfn.XLOOKUP($C$14,_Requeridos!$A$10:$A$20,_Requeridos!$L$10:$L$20,"")="SI",P71=""),"Criterio Clas. 1",""),IF(AND(_xlfn.XLOOKUP($C$14,_Requeridos!$A$10:$A$20,_Requeridos!$M$10:$M$20,"")="SI",Q71=""),"Criterio Clas. 2",""),IF(AND(_xlfn.XLOOKUP($C$14,_Requeridos!$A$10:$A$20,_Requeridos!$N$10:$N$20,"")="SI",R71=""),"Criterio Clas. 3",""),IF(AND(_xlfn.XLOOKUP($C$14,_Requeridos!$A$10:$A$20,_Requeridos!$O$10:$O$20,"")="SI",S71=""),"Criterio Clas. 4",""),IF(AND(_xlfn.XLOOKUP($C$14,_Requeridos!$A$10:$A$20,_Requeridos!$P$10:$P$20,"")="SI",T71=""),"Criterio Clas. 5",""),IF(AND(_xlfn.XLOOKUP($C$14,_Requeridos!$A$10:$A$20,_Requeridos!$Q$10:$Q$20,"")="SI",U71=""),"Ubicación técnica",""),IF(AND(_xlfn.XLOOKUP($C$14,_Requeridos!$A$10:$A$20,_Requeridos!$R$10:$R$20,"")="SI",X71=""),"Centro",""),IF(AND(_xlfn.XLOOKUP($C$14,_Requeridos!$A$10:$A$20,_Requeridos!$S$10:$S$20,"")="SI",Y71=""),"Código País",""),IF(AND(_xlfn.XLOOKUP($C$14,_Requeridos!$A$10:$A$20,_Requeridos!$T$10:$T$20,"")="SI",Z71=""),"Emplazamiento",""),IF(AND(_xlfn.XLOOKUP($C$14,_Requeridos!$A$10:$A$20,_Requeridos!$U$10:$U$20,"")="SI",AB71=""),"Centro de Costo",""),IF(AND(_xlfn.XLOOKUP($C$14,_Requeridos!$A$10:$A$20,_Requeridos!$V$10:$V$20,"")="SI",AC71=""),"Número de personal",""),IF(AND(_xlfn.XLOOKUP($C$14,_Requeridos!$A$10:$A$20,_Requeridos!$W$10:$W$20,"")="SI",AH71=""),"Valor Unitario","")))&gt;0,"⚠️ Faltan: "&amp;_xlfn.TEXTJOIN(", ",TRUE,IF(AND(_xlfn.XLOOKUP($C$14,_Requeridos!$A$10:$A$20,_Requeridos!$B$10:$B$20,"")="SI",C71=""),"Orden de Inversión",""),IF(AND(_xlfn.XLOOKUP($C$14,_Requeridos!$A$10:$A$20,_Requeridos!$C$10:$C$20,"")="SI",D71=""),"Elemento PEP",""),IF(AND(_xlfn.XLOOKUP($C$14,_Requeridos!$A$10:$A$20,_Requeridos!$D$10:$D$20,"")="SI",E71=""),"Pedido",""),IF(AND(_xlfn.XLOOKUP($C$14,_Requeridos!$A$10:$A$20,_Requeridos!$E$10:$E$20,"")="SI",F71=""),"Descripción Activo SAP",""),IF(AND(_xlfn.XLOOKUP($C$14,_Requeridos!$A$10:$A$20,_Requeridos!$F$10:$F$20,"")="SI",G71=""),"Clase",""),IF(AND(_xlfn.XLOOKUP($C$14,_Requeridos!$A$10:$A$20,_Requeridos!$G$10:$G$20,"")="SI",H71=""),"Cantidad",""),IF(AND(_xlfn.XLOOKUP($C$14,_Requeridos!$A$10:$A$20,_Requeridos!$H$10:$H$20,"")="SI",I71=""),"Nombre principal AF",""),IF(AND(_xlfn.XLOOKUP($C$14,_Requeridos!$A$10:$A$20,_Requeridos!$I$10:$I$20,"")="SI",L71=""),"Fabricante",""),IF(AND(_xlfn.XLOOKUP($C$14,_Requeridos!$A$10:$A$20,_Requeridos!$J$10:$J$20,"")="SI",M71=""),"Nit Proveedor",""),IF(AND(_xlfn.XLOOKUP($C$14,_Requeridos!$A$10:$A$20,_Requeridos!$K$10:$K$20,"")="SI",N71=""),"Serie",""),IF(AND(_xlfn.XLOOKUP($C$14,_Requeridos!$A$10:$A$20,_Requeridos!$L$10:$L$20,"")="SI",P71=""),"Criterio Clas. 1",""),IF(AND(_xlfn.XLOOKUP($C$14,_Requeridos!$A$10:$A$20,_Requeridos!$M$10:$M$20,"")="SI",Q71=""),"Criterio Clas. 2",""),IF(AND(_xlfn.XLOOKUP($C$14,_Requeridos!$A$10:$A$20,_Requeridos!$N$10:$N$20,"")="SI",R71=""),"Criterio Clas. 3",""),IF(AND(_xlfn.XLOOKUP($C$14,_Requeridos!$A$10:$A$20,_Requeridos!$O$10:$O$20,"")="SI",S71=""),"Criterio Clas. 4",""),IF(AND(_xlfn.XLOOKUP($C$14,_Requeridos!$A$10:$A$20,_Requeridos!$P$10:$P$20,"")="SI",T71=""),"Criterio Clas. 5",""),IF(AND(_xlfn.XLOOKUP($C$14,_Requeridos!$A$10:$A$20,_Requeridos!$Q$10:$Q$20,"")="SI",U71=""),"Ubicación técnica",""),IF(AND(_xlfn.XLOOKUP($C$14,_Requeridos!$A$10:$A$20,_Requeridos!$R$10:$R$20,"")="SI",X71=""),"Centro",""),IF(AND(_xlfn.XLOOKUP($C$14,_Requeridos!$A$10:$A$20,_Requeridos!$S$10:$S$20,"")="SI",Y71=""),"Código País",""),IF(AND(_xlfn.XLOOKUP($C$14,_Requeridos!$A$10:$A$20,_Requeridos!$T$10:$T$20,"")="SI",Z71=""),"Emplazamiento",""),IF(AND(_xlfn.XLOOKUP($C$14,_Requeridos!$A$10:$A$20,_Requeridos!$U$10:$U$20,"")="SI",AB71=""),"Centro de Costo",""),IF(AND(_xlfn.XLOOKUP($C$14,_Requeridos!$A$10:$A$20,_Requeridos!$V$10:$V$20,"")="SI",AC71=""),"Número de personal",""),IF(AND(_xlfn.XLOOKUP($C$14,_Requeridos!$A$10:$A$20,_Requeridos!$W$10:$W$20,"")="SI",AH71=""),"Valor Unitario","")),"✅ Completo"))</f>
        <v/>
      </c>
      <c r="AK71" s="52"/>
    </row>
    <row r="72" spans="1:37" s="37" customFormat="1" x14ac:dyDescent="0.35">
      <c r="A72" s="31"/>
      <c r="B72" s="56">
        <v>51</v>
      </c>
      <c r="C72" s="57"/>
      <c r="D72" s="57"/>
      <c r="E72" s="57"/>
      <c r="F72" s="57"/>
      <c r="G72" s="58" t="str">
        <f>IFERROR(_xlfn.XLOOKUP(F72,Clase!$C$2:$C$292,Clase!$B$2:$B$292,""),"")</f>
        <v/>
      </c>
      <c r="H72" s="57"/>
      <c r="I72" s="59"/>
      <c r="J72" s="57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7"/>
      <c r="AC72" s="57"/>
      <c r="AD72" s="58" t="str">
        <f>IFERROR(_xlfn.XLOOKUP(AB72,Ceco!$B$2:$B$901,Ceco!$C$2:$C$901,""),"")</f>
        <v/>
      </c>
      <c r="AE72" s="57"/>
      <c r="AF72" s="57"/>
      <c r="AG72" s="60"/>
      <c r="AH72" s="57"/>
      <c r="AI72" s="61"/>
      <c r="AJ72" s="62" t="str">
        <f>IF(COUNTA(C72,D72,E72,F72,H72,I72,L72,M72,N72,P72,Q72,R72,S72,T72,U72,X72,Y72,Z72,AB72,AC72,AH72)=0,"",IF(LEN(_xlfn.TEXTJOIN(", ",TRUE,IF(AND(_xlfn.XLOOKUP($C$14,_Requeridos!$A$10:$A$20,_Requeridos!$B$10:$B$20,"")="SI",C72=""),"Orden de Inversión",""),IF(AND(_xlfn.XLOOKUP($C$14,_Requeridos!$A$10:$A$20,_Requeridos!$C$10:$C$20,"")="SI",D72=""),"Elemento PEP",""),IF(AND(_xlfn.XLOOKUP($C$14,_Requeridos!$A$10:$A$20,_Requeridos!$D$10:$D$20,"")="SI",E72=""),"Pedido",""),IF(AND(_xlfn.XLOOKUP($C$14,_Requeridos!$A$10:$A$20,_Requeridos!$E$10:$E$20,"")="SI",F72=""),"Descripción Activo SAP",""),IF(AND(_xlfn.XLOOKUP($C$14,_Requeridos!$A$10:$A$20,_Requeridos!$F$10:$F$20,"")="SI",G72=""),"Clase",""),IF(AND(_xlfn.XLOOKUP($C$14,_Requeridos!$A$10:$A$20,_Requeridos!$G$10:$G$20,"")="SI",H72=""),"Cantidad",""),IF(AND(_xlfn.XLOOKUP($C$14,_Requeridos!$A$10:$A$20,_Requeridos!$H$10:$H$20,"")="SI",I72=""),"Nombre principal AF",""),IF(AND(_xlfn.XLOOKUP($C$14,_Requeridos!$A$10:$A$20,_Requeridos!$I$10:$I$20,"")="SI",L72=""),"Fabricante",""),IF(AND(_xlfn.XLOOKUP($C$14,_Requeridos!$A$10:$A$20,_Requeridos!$J$10:$J$20,"")="SI",M72=""),"Nit Proveedor",""),IF(AND(_xlfn.XLOOKUP($C$14,_Requeridos!$A$10:$A$20,_Requeridos!$K$10:$K$20,"")="SI",N72=""),"Serie",""),IF(AND(_xlfn.XLOOKUP($C$14,_Requeridos!$A$10:$A$20,_Requeridos!$L$10:$L$20,"")="SI",P72=""),"Criterio Clas. 1",""),IF(AND(_xlfn.XLOOKUP($C$14,_Requeridos!$A$10:$A$20,_Requeridos!$M$10:$M$20,"")="SI",Q72=""),"Criterio Clas. 2",""),IF(AND(_xlfn.XLOOKUP($C$14,_Requeridos!$A$10:$A$20,_Requeridos!$N$10:$N$20,"")="SI",R72=""),"Criterio Clas. 3",""),IF(AND(_xlfn.XLOOKUP($C$14,_Requeridos!$A$10:$A$20,_Requeridos!$O$10:$O$20,"")="SI",S72=""),"Criterio Clas. 4",""),IF(AND(_xlfn.XLOOKUP($C$14,_Requeridos!$A$10:$A$20,_Requeridos!$P$10:$P$20,"")="SI",T72=""),"Criterio Clas. 5",""),IF(AND(_xlfn.XLOOKUP($C$14,_Requeridos!$A$10:$A$20,_Requeridos!$Q$10:$Q$20,"")="SI",U72=""),"Ubicación técnica",""),IF(AND(_xlfn.XLOOKUP($C$14,_Requeridos!$A$10:$A$20,_Requeridos!$R$10:$R$20,"")="SI",X72=""),"Centro",""),IF(AND(_xlfn.XLOOKUP($C$14,_Requeridos!$A$10:$A$20,_Requeridos!$S$10:$S$20,"")="SI",Y72=""),"Código País",""),IF(AND(_xlfn.XLOOKUP($C$14,_Requeridos!$A$10:$A$20,_Requeridos!$T$10:$T$20,"")="SI",Z72=""),"Emplazamiento",""),IF(AND(_xlfn.XLOOKUP($C$14,_Requeridos!$A$10:$A$20,_Requeridos!$U$10:$U$20,"")="SI",AB72=""),"Centro de Costo",""),IF(AND(_xlfn.XLOOKUP($C$14,_Requeridos!$A$10:$A$20,_Requeridos!$V$10:$V$20,"")="SI",AC72=""),"Número de personal",""),IF(AND(_xlfn.XLOOKUP($C$14,_Requeridos!$A$10:$A$20,_Requeridos!$W$10:$W$20,"")="SI",AH72=""),"Valor Unitario","")))&gt;0,"⚠️ Faltan: "&amp;_xlfn.TEXTJOIN(", ",TRUE,IF(AND(_xlfn.XLOOKUP($C$14,_Requeridos!$A$10:$A$20,_Requeridos!$B$10:$B$20,"")="SI",C72=""),"Orden de Inversión",""),IF(AND(_xlfn.XLOOKUP($C$14,_Requeridos!$A$10:$A$20,_Requeridos!$C$10:$C$20,"")="SI",D72=""),"Elemento PEP",""),IF(AND(_xlfn.XLOOKUP($C$14,_Requeridos!$A$10:$A$20,_Requeridos!$D$10:$D$20,"")="SI",E72=""),"Pedido",""),IF(AND(_xlfn.XLOOKUP($C$14,_Requeridos!$A$10:$A$20,_Requeridos!$E$10:$E$20,"")="SI",F72=""),"Descripción Activo SAP",""),IF(AND(_xlfn.XLOOKUP($C$14,_Requeridos!$A$10:$A$20,_Requeridos!$F$10:$F$20,"")="SI",G72=""),"Clase",""),IF(AND(_xlfn.XLOOKUP($C$14,_Requeridos!$A$10:$A$20,_Requeridos!$G$10:$G$20,"")="SI",H72=""),"Cantidad",""),IF(AND(_xlfn.XLOOKUP($C$14,_Requeridos!$A$10:$A$20,_Requeridos!$H$10:$H$20,"")="SI",I72=""),"Nombre principal AF",""),IF(AND(_xlfn.XLOOKUP($C$14,_Requeridos!$A$10:$A$20,_Requeridos!$I$10:$I$20,"")="SI",L72=""),"Fabricante",""),IF(AND(_xlfn.XLOOKUP($C$14,_Requeridos!$A$10:$A$20,_Requeridos!$J$10:$J$20,"")="SI",M72=""),"Nit Proveedor",""),IF(AND(_xlfn.XLOOKUP($C$14,_Requeridos!$A$10:$A$20,_Requeridos!$K$10:$K$20,"")="SI",N72=""),"Serie",""),IF(AND(_xlfn.XLOOKUP($C$14,_Requeridos!$A$10:$A$20,_Requeridos!$L$10:$L$20,"")="SI",P72=""),"Criterio Clas. 1",""),IF(AND(_xlfn.XLOOKUP($C$14,_Requeridos!$A$10:$A$20,_Requeridos!$M$10:$M$20,"")="SI",Q72=""),"Criterio Clas. 2",""),IF(AND(_xlfn.XLOOKUP($C$14,_Requeridos!$A$10:$A$20,_Requeridos!$N$10:$N$20,"")="SI",R72=""),"Criterio Clas. 3",""),IF(AND(_xlfn.XLOOKUP($C$14,_Requeridos!$A$10:$A$20,_Requeridos!$O$10:$O$20,"")="SI",S72=""),"Criterio Clas. 4",""),IF(AND(_xlfn.XLOOKUP($C$14,_Requeridos!$A$10:$A$20,_Requeridos!$P$10:$P$20,"")="SI",T72=""),"Criterio Clas. 5",""),IF(AND(_xlfn.XLOOKUP($C$14,_Requeridos!$A$10:$A$20,_Requeridos!$Q$10:$Q$20,"")="SI",U72=""),"Ubicación técnica",""),IF(AND(_xlfn.XLOOKUP($C$14,_Requeridos!$A$10:$A$20,_Requeridos!$R$10:$R$20,"")="SI",X72=""),"Centro",""),IF(AND(_xlfn.XLOOKUP($C$14,_Requeridos!$A$10:$A$20,_Requeridos!$S$10:$S$20,"")="SI",Y72=""),"Código País",""),IF(AND(_xlfn.XLOOKUP($C$14,_Requeridos!$A$10:$A$20,_Requeridos!$T$10:$T$20,"")="SI",Z72=""),"Emplazamiento",""),IF(AND(_xlfn.XLOOKUP($C$14,_Requeridos!$A$10:$A$20,_Requeridos!$U$10:$U$20,"")="SI",AB72=""),"Centro de Costo",""),IF(AND(_xlfn.XLOOKUP($C$14,_Requeridos!$A$10:$A$20,_Requeridos!$V$10:$V$20,"")="SI",AC72=""),"Número de personal",""),IF(AND(_xlfn.XLOOKUP($C$14,_Requeridos!$A$10:$A$20,_Requeridos!$W$10:$W$20,"")="SI",AH72=""),"Valor Unitario","")),"✅ Completo"))</f>
        <v/>
      </c>
      <c r="AK72" s="52"/>
    </row>
    <row r="73" spans="1:37" s="37" customFormat="1" x14ac:dyDescent="0.35">
      <c r="A73" s="31"/>
      <c r="B73" s="56">
        <v>52</v>
      </c>
      <c r="C73" s="57"/>
      <c r="D73" s="57"/>
      <c r="E73" s="57"/>
      <c r="F73" s="57"/>
      <c r="G73" s="58" t="str">
        <f>IFERROR(_xlfn.XLOOKUP(F73,Clase!$C$2:$C$292,Clase!$B$2:$B$292,""),"")</f>
        <v/>
      </c>
      <c r="H73" s="57"/>
      <c r="I73" s="59"/>
      <c r="J73" s="57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7"/>
      <c r="AC73" s="57"/>
      <c r="AD73" s="58" t="str">
        <f>IFERROR(_xlfn.XLOOKUP(AB73,Ceco!$B$2:$B$901,Ceco!$C$2:$C$901,""),"")</f>
        <v/>
      </c>
      <c r="AE73" s="57"/>
      <c r="AF73" s="57"/>
      <c r="AG73" s="60"/>
      <c r="AH73" s="57"/>
      <c r="AI73" s="61"/>
      <c r="AJ73" s="62" t="str">
        <f>IF(COUNTA(C73,D73,E73,F73,H73,I73,L73,M73,N73,P73,Q73,R73,S73,T73,U73,X73,Y73,Z73,AB73,AC73,AH73)=0,"",IF(LEN(_xlfn.TEXTJOIN(", ",TRUE,IF(AND(_xlfn.XLOOKUP($C$14,_Requeridos!$A$10:$A$20,_Requeridos!$B$10:$B$20,"")="SI",C73=""),"Orden de Inversión",""),IF(AND(_xlfn.XLOOKUP($C$14,_Requeridos!$A$10:$A$20,_Requeridos!$C$10:$C$20,"")="SI",D73=""),"Elemento PEP",""),IF(AND(_xlfn.XLOOKUP($C$14,_Requeridos!$A$10:$A$20,_Requeridos!$D$10:$D$20,"")="SI",E73=""),"Pedido",""),IF(AND(_xlfn.XLOOKUP($C$14,_Requeridos!$A$10:$A$20,_Requeridos!$E$10:$E$20,"")="SI",F73=""),"Descripción Activo SAP",""),IF(AND(_xlfn.XLOOKUP($C$14,_Requeridos!$A$10:$A$20,_Requeridos!$F$10:$F$20,"")="SI",G73=""),"Clase",""),IF(AND(_xlfn.XLOOKUP($C$14,_Requeridos!$A$10:$A$20,_Requeridos!$G$10:$G$20,"")="SI",H73=""),"Cantidad",""),IF(AND(_xlfn.XLOOKUP($C$14,_Requeridos!$A$10:$A$20,_Requeridos!$H$10:$H$20,"")="SI",I73=""),"Nombre principal AF",""),IF(AND(_xlfn.XLOOKUP($C$14,_Requeridos!$A$10:$A$20,_Requeridos!$I$10:$I$20,"")="SI",L73=""),"Fabricante",""),IF(AND(_xlfn.XLOOKUP($C$14,_Requeridos!$A$10:$A$20,_Requeridos!$J$10:$J$20,"")="SI",M73=""),"Nit Proveedor",""),IF(AND(_xlfn.XLOOKUP($C$14,_Requeridos!$A$10:$A$20,_Requeridos!$K$10:$K$20,"")="SI",N73=""),"Serie",""),IF(AND(_xlfn.XLOOKUP($C$14,_Requeridos!$A$10:$A$20,_Requeridos!$L$10:$L$20,"")="SI",P73=""),"Criterio Clas. 1",""),IF(AND(_xlfn.XLOOKUP($C$14,_Requeridos!$A$10:$A$20,_Requeridos!$M$10:$M$20,"")="SI",Q73=""),"Criterio Clas. 2",""),IF(AND(_xlfn.XLOOKUP($C$14,_Requeridos!$A$10:$A$20,_Requeridos!$N$10:$N$20,"")="SI",R73=""),"Criterio Clas. 3",""),IF(AND(_xlfn.XLOOKUP($C$14,_Requeridos!$A$10:$A$20,_Requeridos!$O$10:$O$20,"")="SI",S73=""),"Criterio Clas. 4",""),IF(AND(_xlfn.XLOOKUP($C$14,_Requeridos!$A$10:$A$20,_Requeridos!$P$10:$P$20,"")="SI",T73=""),"Criterio Clas. 5",""),IF(AND(_xlfn.XLOOKUP($C$14,_Requeridos!$A$10:$A$20,_Requeridos!$Q$10:$Q$20,"")="SI",U73=""),"Ubicación técnica",""),IF(AND(_xlfn.XLOOKUP($C$14,_Requeridos!$A$10:$A$20,_Requeridos!$R$10:$R$20,"")="SI",X73=""),"Centro",""),IF(AND(_xlfn.XLOOKUP($C$14,_Requeridos!$A$10:$A$20,_Requeridos!$S$10:$S$20,"")="SI",Y73=""),"Código País",""),IF(AND(_xlfn.XLOOKUP($C$14,_Requeridos!$A$10:$A$20,_Requeridos!$T$10:$T$20,"")="SI",Z73=""),"Emplazamiento",""),IF(AND(_xlfn.XLOOKUP($C$14,_Requeridos!$A$10:$A$20,_Requeridos!$U$10:$U$20,"")="SI",AB73=""),"Centro de Costo",""),IF(AND(_xlfn.XLOOKUP($C$14,_Requeridos!$A$10:$A$20,_Requeridos!$V$10:$V$20,"")="SI",AC73=""),"Número de personal",""),IF(AND(_xlfn.XLOOKUP($C$14,_Requeridos!$A$10:$A$20,_Requeridos!$W$10:$W$20,"")="SI",AH73=""),"Valor Unitario","")))&gt;0,"⚠️ Faltan: "&amp;_xlfn.TEXTJOIN(", ",TRUE,IF(AND(_xlfn.XLOOKUP($C$14,_Requeridos!$A$10:$A$20,_Requeridos!$B$10:$B$20,"")="SI",C73=""),"Orden de Inversión",""),IF(AND(_xlfn.XLOOKUP($C$14,_Requeridos!$A$10:$A$20,_Requeridos!$C$10:$C$20,"")="SI",D73=""),"Elemento PEP",""),IF(AND(_xlfn.XLOOKUP($C$14,_Requeridos!$A$10:$A$20,_Requeridos!$D$10:$D$20,"")="SI",E73=""),"Pedido",""),IF(AND(_xlfn.XLOOKUP($C$14,_Requeridos!$A$10:$A$20,_Requeridos!$E$10:$E$20,"")="SI",F73=""),"Descripción Activo SAP",""),IF(AND(_xlfn.XLOOKUP($C$14,_Requeridos!$A$10:$A$20,_Requeridos!$F$10:$F$20,"")="SI",G73=""),"Clase",""),IF(AND(_xlfn.XLOOKUP($C$14,_Requeridos!$A$10:$A$20,_Requeridos!$G$10:$G$20,"")="SI",H73=""),"Cantidad",""),IF(AND(_xlfn.XLOOKUP($C$14,_Requeridos!$A$10:$A$20,_Requeridos!$H$10:$H$20,"")="SI",I73=""),"Nombre principal AF",""),IF(AND(_xlfn.XLOOKUP($C$14,_Requeridos!$A$10:$A$20,_Requeridos!$I$10:$I$20,"")="SI",L73=""),"Fabricante",""),IF(AND(_xlfn.XLOOKUP($C$14,_Requeridos!$A$10:$A$20,_Requeridos!$J$10:$J$20,"")="SI",M73=""),"Nit Proveedor",""),IF(AND(_xlfn.XLOOKUP($C$14,_Requeridos!$A$10:$A$20,_Requeridos!$K$10:$K$20,"")="SI",N73=""),"Serie",""),IF(AND(_xlfn.XLOOKUP($C$14,_Requeridos!$A$10:$A$20,_Requeridos!$L$10:$L$20,"")="SI",P73=""),"Criterio Clas. 1",""),IF(AND(_xlfn.XLOOKUP($C$14,_Requeridos!$A$10:$A$20,_Requeridos!$M$10:$M$20,"")="SI",Q73=""),"Criterio Clas. 2",""),IF(AND(_xlfn.XLOOKUP($C$14,_Requeridos!$A$10:$A$20,_Requeridos!$N$10:$N$20,"")="SI",R73=""),"Criterio Clas. 3",""),IF(AND(_xlfn.XLOOKUP($C$14,_Requeridos!$A$10:$A$20,_Requeridos!$O$10:$O$20,"")="SI",S73=""),"Criterio Clas. 4",""),IF(AND(_xlfn.XLOOKUP($C$14,_Requeridos!$A$10:$A$20,_Requeridos!$P$10:$P$20,"")="SI",T73=""),"Criterio Clas. 5",""),IF(AND(_xlfn.XLOOKUP($C$14,_Requeridos!$A$10:$A$20,_Requeridos!$Q$10:$Q$20,"")="SI",U73=""),"Ubicación técnica",""),IF(AND(_xlfn.XLOOKUP($C$14,_Requeridos!$A$10:$A$20,_Requeridos!$R$10:$R$20,"")="SI",X73=""),"Centro",""),IF(AND(_xlfn.XLOOKUP($C$14,_Requeridos!$A$10:$A$20,_Requeridos!$S$10:$S$20,"")="SI",Y73=""),"Código País",""),IF(AND(_xlfn.XLOOKUP($C$14,_Requeridos!$A$10:$A$20,_Requeridos!$T$10:$T$20,"")="SI",Z73=""),"Emplazamiento",""),IF(AND(_xlfn.XLOOKUP($C$14,_Requeridos!$A$10:$A$20,_Requeridos!$U$10:$U$20,"")="SI",AB73=""),"Centro de Costo",""),IF(AND(_xlfn.XLOOKUP($C$14,_Requeridos!$A$10:$A$20,_Requeridos!$V$10:$V$20,"")="SI",AC73=""),"Número de personal",""),IF(AND(_xlfn.XLOOKUP($C$14,_Requeridos!$A$10:$A$20,_Requeridos!$W$10:$W$20,"")="SI",AH73=""),"Valor Unitario","")),"✅ Completo"))</f>
        <v/>
      </c>
      <c r="AK73" s="52"/>
    </row>
    <row r="74" spans="1:37" s="37" customFormat="1" x14ac:dyDescent="0.35">
      <c r="A74" s="31"/>
      <c r="B74" s="56">
        <v>53</v>
      </c>
      <c r="C74" s="57"/>
      <c r="D74" s="57"/>
      <c r="E74" s="57"/>
      <c r="F74" s="57"/>
      <c r="G74" s="58" t="str">
        <f>IFERROR(_xlfn.XLOOKUP(F74,Clase!$C$2:$C$292,Clase!$B$2:$B$292,""),"")</f>
        <v/>
      </c>
      <c r="H74" s="57"/>
      <c r="I74" s="59"/>
      <c r="J74" s="57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7"/>
      <c r="AC74" s="57"/>
      <c r="AD74" s="58" t="str">
        <f>IFERROR(_xlfn.XLOOKUP(AB74,Ceco!$B$2:$B$901,Ceco!$C$2:$C$901,""),"")</f>
        <v/>
      </c>
      <c r="AE74" s="57"/>
      <c r="AF74" s="57"/>
      <c r="AG74" s="60"/>
      <c r="AH74" s="57"/>
      <c r="AI74" s="61"/>
      <c r="AJ74" s="62" t="str">
        <f>IF(COUNTA(C74,D74,E74,F74,H74,I74,L74,M74,N74,P74,Q74,R74,S74,T74,U74,X74,Y74,Z74,AB74,AC74,AH74)=0,"",IF(LEN(_xlfn.TEXTJOIN(", ",TRUE,IF(AND(_xlfn.XLOOKUP($C$14,_Requeridos!$A$10:$A$20,_Requeridos!$B$10:$B$20,"")="SI",C74=""),"Orden de Inversión",""),IF(AND(_xlfn.XLOOKUP($C$14,_Requeridos!$A$10:$A$20,_Requeridos!$C$10:$C$20,"")="SI",D74=""),"Elemento PEP",""),IF(AND(_xlfn.XLOOKUP($C$14,_Requeridos!$A$10:$A$20,_Requeridos!$D$10:$D$20,"")="SI",E74=""),"Pedido",""),IF(AND(_xlfn.XLOOKUP($C$14,_Requeridos!$A$10:$A$20,_Requeridos!$E$10:$E$20,"")="SI",F74=""),"Descripción Activo SAP",""),IF(AND(_xlfn.XLOOKUP($C$14,_Requeridos!$A$10:$A$20,_Requeridos!$F$10:$F$20,"")="SI",G74=""),"Clase",""),IF(AND(_xlfn.XLOOKUP($C$14,_Requeridos!$A$10:$A$20,_Requeridos!$G$10:$G$20,"")="SI",H74=""),"Cantidad",""),IF(AND(_xlfn.XLOOKUP($C$14,_Requeridos!$A$10:$A$20,_Requeridos!$H$10:$H$20,"")="SI",I74=""),"Nombre principal AF",""),IF(AND(_xlfn.XLOOKUP($C$14,_Requeridos!$A$10:$A$20,_Requeridos!$I$10:$I$20,"")="SI",L74=""),"Fabricante",""),IF(AND(_xlfn.XLOOKUP($C$14,_Requeridos!$A$10:$A$20,_Requeridos!$J$10:$J$20,"")="SI",M74=""),"Nit Proveedor",""),IF(AND(_xlfn.XLOOKUP($C$14,_Requeridos!$A$10:$A$20,_Requeridos!$K$10:$K$20,"")="SI",N74=""),"Serie",""),IF(AND(_xlfn.XLOOKUP($C$14,_Requeridos!$A$10:$A$20,_Requeridos!$L$10:$L$20,"")="SI",P74=""),"Criterio Clas. 1",""),IF(AND(_xlfn.XLOOKUP($C$14,_Requeridos!$A$10:$A$20,_Requeridos!$M$10:$M$20,"")="SI",Q74=""),"Criterio Clas. 2",""),IF(AND(_xlfn.XLOOKUP($C$14,_Requeridos!$A$10:$A$20,_Requeridos!$N$10:$N$20,"")="SI",R74=""),"Criterio Clas. 3",""),IF(AND(_xlfn.XLOOKUP($C$14,_Requeridos!$A$10:$A$20,_Requeridos!$O$10:$O$20,"")="SI",S74=""),"Criterio Clas. 4",""),IF(AND(_xlfn.XLOOKUP($C$14,_Requeridos!$A$10:$A$20,_Requeridos!$P$10:$P$20,"")="SI",T74=""),"Criterio Clas. 5",""),IF(AND(_xlfn.XLOOKUP($C$14,_Requeridos!$A$10:$A$20,_Requeridos!$Q$10:$Q$20,"")="SI",U74=""),"Ubicación técnica",""),IF(AND(_xlfn.XLOOKUP($C$14,_Requeridos!$A$10:$A$20,_Requeridos!$R$10:$R$20,"")="SI",X74=""),"Centro",""),IF(AND(_xlfn.XLOOKUP($C$14,_Requeridos!$A$10:$A$20,_Requeridos!$S$10:$S$20,"")="SI",Y74=""),"Código País",""),IF(AND(_xlfn.XLOOKUP($C$14,_Requeridos!$A$10:$A$20,_Requeridos!$T$10:$T$20,"")="SI",Z74=""),"Emplazamiento",""),IF(AND(_xlfn.XLOOKUP($C$14,_Requeridos!$A$10:$A$20,_Requeridos!$U$10:$U$20,"")="SI",AB74=""),"Centro de Costo",""),IF(AND(_xlfn.XLOOKUP($C$14,_Requeridos!$A$10:$A$20,_Requeridos!$V$10:$V$20,"")="SI",AC74=""),"Número de personal",""),IF(AND(_xlfn.XLOOKUP($C$14,_Requeridos!$A$10:$A$20,_Requeridos!$W$10:$W$20,"")="SI",AH74=""),"Valor Unitario","")))&gt;0,"⚠️ Faltan: "&amp;_xlfn.TEXTJOIN(", ",TRUE,IF(AND(_xlfn.XLOOKUP($C$14,_Requeridos!$A$10:$A$20,_Requeridos!$B$10:$B$20,"")="SI",C74=""),"Orden de Inversión",""),IF(AND(_xlfn.XLOOKUP($C$14,_Requeridos!$A$10:$A$20,_Requeridos!$C$10:$C$20,"")="SI",D74=""),"Elemento PEP",""),IF(AND(_xlfn.XLOOKUP($C$14,_Requeridos!$A$10:$A$20,_Requeridos!$D$10:$D$20,"")="SI",E74=""),"Pedido",""),IF(AND(_xlfn.XLOOKUP($C$14,_Requeridos!$A$10:$A$20,_Requeridos!$E$10:$E$20,"")="SI",F74=""),"Descripción Activo SAP",""),IF(AND(_xlfn.XLOOKUP($C$14,_Requeridos!$A$10:$A$20,_Requeridos!$F$10:$F$20,"")="SI",G74=""),"Clase",""),IF(AND(_xlfn.XLOOKUP($C$14,_Requeridos!$A$10:$A$20,_Requeridos!$G$10:$G$20,"")="SI",H74=""),"Cantidad",""),IF(AND(_xlfn.XLOOKUP($C$14,_Requeridos!$A$10:$A$20,_Requeridos!$H$10:$H$20,"")="SI",I74=""),"Nombre principal AF",""),IF(AND(_xlfn.XLOOKUP($C$14,_Requeridos!$A$10:$A$20,_Requeridos!$I$10:$I$20,"")="SI",L74=""),"Fabricante",""),IF(AND(_xlfn.XLOOKUP($C$14,_Requeridos!$A$10:$A$20,_Requeridos!$J$10:$J$20,"")="SI",M74=""),"Nit Proveedor",""),IF(AND(_xlfn.XLOOKUP($C$14,_Requeridos!$A$10:$A$20,_Requeridos!$K$10:$K$20,"")="SI",N74=""),"Serie",""),IF(AND(_xlfn.XLOOKUP($C$14,_Requeridos!$A$10:$A$20,_Requeridos!$L$10:$L$20,"")="SI",P74=""),"Criterio Clas. 1",""),IF(AND(_xlfn.XLOOKUP($C$14,_Requeridos!$A$10:$A$20,_Requeridos!$M$10:$M$20,"")="SI",Q74=""),"Criterio Clas. 2",""),IF(AND(_xlfn.XLOOKUP($C$14,_Requeridos!$A$10:$A$20,_Requeridos!$N$10:$N$20,"")="SI",R74=""),"Criterio Clas. 3",""),IF(AND(_xlfn.XLOOKUP($C$14,_Requeridos!$A$10:$A$20,_Requeridos!$O$10:$O$20,"")="SI",S74=""),"Criterio Clas. 4",""),IF(AND(_xlfn.XLOOKUP($C$14,_Requeridos!$A$10:$A$20,_Requeridos!$P$10:$P$20,"")="SI",T74=""),"Criterio Clas. 5",""),IF(AND(_xlfn.XLOOKUP($C$14,_Requeridos!$A$10:$A$20,_Requeridos!$Q$10:$Q$20,"")="SI",U74=""),"Ubicación técnica",""),IF(AND(_xlfn.XLOOKUP($C$14,_Requeridos!$A$10:$A$20,_Requeridos!$R$10:$R$20,"")="SI",X74=""),"Centro",""),IF(AND(_xlfn.XLOOKUP($C$14,_Requeridos!$A$10:$A$20,_Requeridos!$S$10:$S$20,"")="SI",Y74=""),"Código País",""),IF(AND(_xlfn.XLOOKUP($C$14,_Requeridos!$A$10:$A$20,_Requeridos!$T$10:$T$20,"")="SI",Z74=""),"Emplazamiento",""),IF(AND(_xlfn.XLOOKUP($C$14,_Requeridos!$A$10:$A$20,_Requeridos!$U$10:$U$20,"")="SI",AB74=""),"Centro de Costo",""),IF(AND(_xlfn.XLOOKUP($C$14,_Requeridos!$A$10:$A$20,_Requeridos!$V$10:$V$20,"")="SI",AC74=""),"Número de personal",""),IF(AND(_xlfn.XLOOKUP($C$14,_Requeridos!$A$10:$A$20,_Requeridos!$W$10:$W$20,"")="SI",AH74=""),"Valor Unitario","")),"✅ Completo"))</f>
        <v/>
      </c>
      <c r="AK74" s="52"/>
    </row>
    <row r="75" spans="1:37" s="37" customFormat="1" x14ac:dyDescent="0.35">
      <c r="A75" s="31"/>
      <c r="B75" s="56">
        <v>54</v>
      </c>
      <c r="C75" s="57"/>
      <c r="D75" s="57"/>
      <c r="E75" s="57"/>
      <c r="F75" s="57"/>
      <c r="G75" s="58" t="str">
        <f>IFERROR(_xlfn.XLOOKUP(F75,Clase!$C$2:$C$292,Clase!$B$2:$B$292,""),"")</f>
        <v/>
      </c>
      <c r="H75" s="57"/>
      <c r="I75" s="59"/>
      <c r="J75" s="57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7"/>
      <c r="AC75" s="57"/>
      <c r="AD75" s="58" t="str">
        <f>IFERROR(_xlfn.XLOOKUP(AB75,Ceco!$B$2:$B$901,Ceco!$C$2:$C$901,""),"")</f>
        <v/>
      </c>
      <c r="AE75" s="57"/>
      <c r="AF75" s="57"/>
      <c r="AG75" s="60"/>
      <c r="AH75" s="57"/>
      <c r="AI75" s="61"/>
      <c r="AJ75" s="62" t="str">
        <f>IF(COUNTA(C75,D75,E75,F75,H75,I75,L75,M75,N75,P75,Q75,R75,S75,T75,U75,X75,Y75,Z75,AB75,AC75,AH75)=0,"",IF(LEN(_xlfn.TEXTJOIN(", ",TRUE,IF(AND(_xlfn.XLOOKUP($C$14,_Requeridos!$A$10:$A$20,_Requeridos!$B$10:$B$20,"")="SI",C75=""),"Orden de Inversión",""),IF(AND(_xlfn.XLOOKUP($C$14,_Requeridos!$A$10:$A$20,_Requeridos!$C$10:$C$20,"")="SI",D75=""),"Elemento PEP",""),IF(AND(_xlfn.XLOOKUP($C$14,_Requeridos!$A$10:$A$20,_Requeridos!$D$10:$D$20,"")="SI",E75=""),"Pedido",""),IF(AND(_xlfn.XLOOKUP($C$14,_Requeridos!$A$10:$A$20,_Requeridos!$E$10:$E$20,"")="SI",F75=""),"Descripción Activo SAP",""),IF(AND(_xlfn.XLOOKUP($C$14,_Requeridos!$A$10:$A$20,_Requeridos!$F$10:$F$20,"")="SI",G75=""),"Clase",""),IF(AND(_xlfn.XLOOKUP($C$14,_Requeridos!$A$10:$A$20,_Requeridos!$G$10:$G$20,"")="SI",H75=""),"Cantidad",""),IF(AND(_xlfn.XLOOKUP($C$14,_Requeridos!$A$10:$A$20,_Requeridos!$H$10:$H$20,"")="SI",I75=""),"Nombre principal AF",""),IF(AND(_xlfn.XLOOKUP($C$14,_Requeridos!$A$10:$A$20,_Requeridos!$I$10:$I$20,"")="SI",L75=""),"Fabricante",""),IF(AND(_xlfn.XLOOKUP($C$14,_Requeridos!$A$10:$A$20,_Requeridos!$J$10:$J$20,"")="SI",M75=""),"Nit Proveedor",""),IF(AND(_xlfn.XLOOKUP($C$14,_Requeridos!$A$10:$A$20,_Requeridos!$K$10:$K$20,"")="SI",N75=""),"Serie",""),IF(AND(_xlfn.XLOOKUP($C$14,_Requeridos!$A$10:$A$20,_Requeridos!$L$10:$L$20,"")="SI",P75=""),"Criterio Clas. 1",""),IF(AND(_xlfn.XLOOKUP($C$14,_Requeridos!$A$10:$A$20,_Requeridos!$M$10:$M$20,"")="SI",Q75=""),"Criterio Clas. 2",""),IF(AND(_xlfn.XLOOKUP($C$14,_Requeridos!$A$10:$A$20,_Requeridos!$N$10:$N$20,"")="SI",R75=""),"Criterio Clas. 3",""),IF(AND(_xlfn.XLOOKUP($C$14,_Requeridos!$A$10:$A$20,_Requeridos!$O$10:$O$20,"")="SI",S75=""),"Criterio Clas. 4",""),IF(AND(_xlfn.XLOOKUP($C$14,_Requeridos!$A$10:$A$20,_Requeridos!$P$10:$P$20,"")="SI",T75=""),"Criterio Clas. 5",""),IF(AND(_xlfn.XLOOKUP($C$14,_Requeridos!$A$10:$A$20,_Requeridos!$Q$10:$Q$20,"")="SI",U75=""),"Ubicación técnica",""),IF(AND(_xlfn.XLOOKUP($C$14,_Requeridos!$A$10:$A$20,_Requeridos!$R$10:$R$20,"")="SI",X75=""),"Centro",""),IF(AND(_xlfn.XLOOKUP($C$14,_Requeridos!$A$10:$A$20,_Requeridos!$S$10:$S$20,"")="SI",Y75=""),"Código País",""),IF(AND(_xlfn.XLOOKUP($C$14,_Requeridos!$A$10:$A$20,_Requeridos!$T$10:$T$20,"")="SI",Z75=""),"Emplazamiento",""),IF(AND(_xlfn.XLOOKUP($C$14,_Requeridos!$A$10:$A$20,_Requeridos!$U$10:$U$20,"")="SI",AB75=""),"Centro de Costo",""),IF(AND(_xlfn.XLOOKUP($C$14,_Requeridos!$A$10:$A$20,_Requeridos!$V$10:$V$20,"")="SI",AC75=""),"Número de personal",""),IF(AND(_xlfn.XLOOKUP($C$14,_Requeridos!$A$10:$A$20,_Requeridos!$W$10:$W$20,"")="SI",AH75=""),"Valor Unitario","")))&gt;0,"⚠️ Faltan: "&amp;_xlfn.TEXTJOIN(", ",TRUE,IF(AND(_xlfn.XLOOKUP($C$14,_Requeridos!$A$10:$A$20,_Requeridos!$B$10:$B$20,"")="SI",C75=""),"Orden de Inversión",""),IF(AND(_xlfn.XLOOKUP($C$14,_Requeridos!$A$10:$A$20,_Requeridos!$C$10:$C$20,"")="SI",D75=""),"Elemento PEP",""),IF(AND(_xlfn.XLOOKUP($C$14,_Requeridos!$A$10:$A$20,_Requeridos!$D$10:$D$20,"")="SI",E75=""),"Pedido",""),IF(AND(_xlfn.XLOOKUP($C$14,_Requeridos!$A$10:$A$20,_Requeridos!$E$10:$E$20,"")="SI",F75=""),"Descripción Activo SAP",""),IF(AND(_xlfn.XLOOKUP($C$14,_Requeridos!$A$10:$A$20,_Requeridos!$F$10:$F$20,"")="SI",G75=""),"Clase",""),IF(AND(_xlfn.XLOOKUP($C$14,_Requeridos!$A$10:$A$20,_Requeridos!$G$10:$G$20,"")="SI",H75=""),"Cantidad",""),IF(AND(_xlfn.XLOOKUP($C$14,_Requeridos!$A$10:$A$20,_Requeridos!$H$10:$H$20,"")="SI",I75=""),"Nombre principal AF",""),IF(AND(_xlfn.XLOOKUP($C$14,_Requeridos!$A$10:$A$20,_Requeridos!$I$10:$I$20,"")="SI",L75=""),"Fabricante",""),IF(AND(_xlfn.XLOOKUP($C$14,_Requeridos!$A$10:$A$20,_Requeridos!$J$10:$J$20,"")="SI",M75=""),"Nit Proveedor",""),IF(AND(_xlfn.XLOOKUP($C$14,_Requeridos!$A$10:$A$20,_Requeridos!$K$10:$K$20,"")="SI",N75=""),"Serie",""),IF(AND(_xlfn.XLOOKUP($C$14,_Requeridos!$A$10:$A$20,_Requeridos!$L$10:$L$20,"")="SI",P75=""),"Criterio Clas. 1",""),IF(AND(_xlfn.XLOOKUP($C$14,_Requeridos!$A$10:$A$20,_Requeridos!$M$10:$M$20,"")="SI",Q75=""),"Criterio Clas. 2",""),IF(AND(_xlfn.XLOOKUP($C$14,_Requeridos!$A$10:$A$20,_Requeridos!$N$10:$N$20,"")="SI",R75=""),"Criterio Clas. 3",""),IF(AND(_xlfn.XLOOKUP($C$14,_Requeridos!$A$10:$A$20,_Requeridos!$O$10:$O$20,"")="SI",S75=""),"Criterio Clas. 4",""),IF(AND(_xlfn.XLOOKUP($C$14,_Requeridos!$A$10:$A$20,_Requeridos!$P$10:$P$20,"")="SI",T75=""),"Criterio Clas. 5",""),IF(AND(_xlfn.XLOOKUP($C$14,_Requeridos!$A$10:$A$20,_Requeridos!$Q$10:$Q$20,"")="SI",U75=""),"Ubicación técnica",""),IF(AND(_xlfn.XLOOKUP($C$14,_Requeridos!$A$10:$A$20,_Requeridos!$R$10:$R$20,"")="SI",X75=""),"Centro",""),IF(AND(_xlfn.XLOOKUP($C$14,_Requeridos!$A$10:$A$20,_Requeridos!$S$10:$S$20,"")="SI",Y75=""),"Código País",""),IF(AND(_xlfn.XLOOKUP($C$14,_Requeridos!$A$10:$A$20,_Requeridos!$T$10:$T$20,"")="SI",Z75=""),"Emplazamiento",""),IF(AND(_xlfn.XLOOKUP($C$14,_Requeridos!$A$10:$A$20,_Requeridos!$U$10:$U$20,"")="SI",AB75=""),"Centro de Costo",""),IF(AND(_xlfn.XLOOKUP($C$14,_Requeridos!$A$10:$A$20,_Requeridos!$V$10:$V$20,"")="SI",AC75=""),"Número de personal",""),IF(AND(_xlfn.XLOOKUP($C$14,_Requeridos!$A$10:$A$20,_Requeridos!$W$10:$W$20,"")="SI",AH75=""),"Valor Unitario","")),"✅ Completo"))</f>
        <v/>
      </c>
      <c r="AK75" s="52"/>
    </row>
    <row r="76" spans="1:37" s="37" customFormat="1" x14ac:dyDescent="0.35">
      <c r="A76" s="31"/>
      <c r="B76" s="56">
        <v>55</v>
      </c>
      <c r="C76" s="57"/>
      <c r="D76" s="57"/>
      <c r="E76" s="57"/>
      <c r="F76" s="57"/>
      <c r="G76" s="58" t="str">
        <f>IFERROR(_xlfn.XLOOKUP(F76,Clase!$C$2:$C$292,Clase!$B$2:$B$292,""),"")</f>
        <v/>
      </c>
      <c r="H76" s="57"/>
      <c r="I76" s="59"/>
      <c r="J76" s="57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7"/>
      <c r="AC76" s="57"/>
      <c r="AD76" s="58" t="str">
        <f>IFERROR(_xlfn.XLOOKUP(AB76,Ceco!$B$2:$B$901,Ceco!$C$2:$C$901,""),"")</f>
        <v/>
      </c>
      <c r="AE76" s="57"/>
      <c r="AF76" s="57"/>
      <c r="AG76" s="60"/>
      <c r="AH76" s="57"/>
      <c r="AI76" s="61"/>
      <c r="AJ76" s="62" t="str">
        <f>IF(COUNTA(C76,D76,E76,F76,H76,I76,L76,M76,N76,P76,Q76,R76,S76,T76,U76,X76,Y76,Z76,AB76,AC76,AH76)=0,"",IF(LEN(_xlfn.TEXTJOIN(", ",TRUE,IF(AND(_xlfn.XLOOKUP($C$14,_Requeridos!$A$10:$A$20,_Requeridos!$B$10:$B$20,"")="SI",C76=""),"Orden de Inversión",""),IF(AND(_xlfn.XLOOKUP($C$14,_Requeridos!$A$10:$A$20,_Requeridos!$C$10:$C$20,"")="SI",D76=""),"Elemento PEP",""),IF(AND(_xlfn.XLOOKUP($C$14,_Requeridos!$A$10:$A$20,_Requeridos!$D$10:$D$20,"")="SI",E76=""),"Pedido",""),IF(AND(_xlfn.XLOOKUP($C$14,_Requeridos!$A$10:$A$20,_Requeridos!$E$10:$E$20,"")="SI",F76=""),"Descripción Activo SAP",""),IF(AND(_xlfn.XLOOKUP($C$14,_Requeridos!$A$10:$A$20,_Requeridos!$F$10:$F$20,"")="SI",G76=""),"Clase",""),IF(AND(_xlfn.XLOOKUP($C$14,_Requeridos!$A$10:$A$20,_Requeridos!$G$10:$G$20,"")="SI",H76=""),"Cantidad",""),IF(AND(_xlfn.XLOOKUP($C$14,_Requeridos!$A$10:$A$20,_Requeridos!$H$10:$H$20,"")="SI",I76=""),"Nombre principal AF",""),IF(AND(_xlfn.XLOOKUP($C$14,_Requeridos!$A$10:$A$20,_Requeridos!$I$10:$I$20,"")="SI",L76=""),"Fabricante",""),IF(AND(_xlfn.XLOOKUP($C$14,_Requeridos!$A$10:$A$20,_Requeridos!$J$10:$J$20,"")="SI",M76=""),"Nit Proveedor",""),IF(AND(_xlfn.XLOOKUP($C$14,_Requeridos!$A$10:$A$20,_Requeridos!$K$10:$K$20,"")="SI",N76=""),"Serie",""),IF(AND(_xlfn.XLOOKUP($C$14,_Requeridos!$A$10:$A$20,_Requeridos!$L$10:$L$20,"")="SI",P76=""),"Criterio Clas. 1",""),IF(AND(_xlfn.XLOOKUP($C$14,_Requeridos!$A$10:$A$20,_Requeridos!$M$10:$M$20,"")="SI",Q76=""),"Criterio Clas. 2",""),IF(AND(_xlfn.XLOOKUP($C$14,_Requeridos!$A$10:$A$20,_Requeridos!$N$10:$N$20,"")="SI",R76=""),"Criterio Clas. 3",""),IF(AND(_xlfn.XLOOKUP($C$14,_Requeridos!$A$10:$A$20,_Requeridos!$O$10:$O$20,"")="SI",S76=""),"Criterio Clas. 4",""),IF(AND(_xlfn.XLOOKUP($C$14,_Requeridos!$A$10:$A$20,_Requeridos!$P$10:$P$20,"")="SI",T76=""),"Criterio Clas. 5",""),IF(AND(_xlfn.XLOOKUP($C$14,_Requeridos!$A$10:$A$20,_Requeridos!$Q$10:$Q$20,"")="SI",U76=""),"Ubicación técnica",""),IF(AND(_xlfn.XLOOKUP($C$14,_Requeridos!$A$10:$A$20,_Requeridos!$R$10:$R$20,"")="SI",X76=""),"Centro",""),IF(AND(_xlfn.XLOOKUP($C$14,_Requeridos!$A$10:$A$20,_Requeridos!$S$10:$S$20,"")="SI",Y76=""),"Código País",""),IF(AND(_xlfn.XLOOKUP($C$14,_Requeridos!$A$10:$A$20,_Requeridos!$T$10:$T$20,"")="SI",Z76=""),"Emplazamiento",""),IF(AND(_xlfn.XLOOKUP($C$14,_Requeridos!$A$10:$A$20,_Requeridos!$U$10:$U$20,"")="SI",AB76=""),"Centro de Costo",""),IF(AND(_xlfn.XLOOKUP($C$14,_Requeridos!$A$10:$A$20,_Requeridos!$V$10:$V$20,"")="SI",AC76=""),"Número de personal",""),IF(AND(_xlfn.XLOOKUP($C$14,_Requeridos!$A$10:$A$20,_Requeridos!$W$10:$W$20,"")="SI",AH76=""),"Valor Unitario","")))&gt;0,"⚠️ Faltan: "&amp;_xlfn.TEXTJOIN(", ",TRUE,IF(AND(_xlfn.XLOOKUP($C$14,_Requeridos!$A$10:$A$20,_Requeridos!$B$10:$B$20,"")="SI",C76=""),"Orden de Inversión",""),IF(AND(_xlfn.XLOOKUP($C$14,_Requeridos!$A$10:$A$20,_Requeridos!$C$10:$C$20,"")="SI",D76=""),"Elemento PEP",""),IF(AND(_xlfn.XLOOKUP($C$14,_Requeridos!$A$10:$A$20,_Requeridos!$D$10:$D$20,"")="SI",E76=""),"Pedido",""),IF(AND(_xlfn.XLOOKUP($C$14,_Requeridos!$A$10:$A$20,_Requeridos!$E$10:$E$20,"")="SI",F76=""),"Descripción Activo SAP",""),IF(AND(_xlfn.XLOOKUP($C$14,_Requeridos!$A$10:$A$20,_Requeridos!$F$10:$F$20,"")="SI",G76=""),"Clase",""),IF(AND(_xlfn.XLOOKUP($C$14,_Requeridos!$A$10:$A$20,_Requeridos!$G$10:$G$20,"")="SI",H76=""),"Cantidad",""),IF(AND(_xlfn.XLOOKUP($C$14,_Requeridos!$A$10:$A$20,_Requeridos!$H$10:$H$20,"")="SI",I76=""),"Nombre principal AF",""),IF(AND(_xlfn.XLOOKUP($C$14,_Requeridos!$A$10:$A$20,_Requeridos!$I$10:$I$20,"")="SI",L76=""),"Fabricante",""),IF(AND(_xlfn.XLOOKUP($C$14,_Requeridos!$A$10:$A$20,_Requeridos!$J$10:$J$20,"")="SI",M76=""),"Nit Proveedor",""),IF(AND(_xlfn.XLOOKUP($C$14,_Requeridos!$A$10:$A$20,_Requeridos!$K$10:$K$20,"")="SI",N76=""),"Serie",""),IF(AND(_xlfn.XLOOKUP($C$14,_Requeridos!$A$10:$A$20,_Requeridos!$L$10:$L$20,"")="SI",P76=""),"Criterio Clas. 1",""),IF(AND(_xlfn.XLOOKUP($C$14,_Requeridos!$A$10:$A$20,_Requeridos!$M$10:$M$20,"")="SI",Q76=""),"Criterio Clas. 2",""),IF(AND(_xlfn.XLOOKUP($C$14,_Requeridos!$A$10:$A$20,_Requeridos!$N$10:$N$20,"")="SI",R76=""),"Criterio Clas. 3",""),IF(AND(_xlfn.XLOOKUP($C$14,_Requeridos!$A$10:$A$20,_Requeridos!$O$10:$O$20,"")="SI",S76=""),"Criterio Clas. 4",""),IF(AND(_xlfn.XLOOKUP($C$14,_Requeridos!$A$10:$A$20,_Requeridos!$P$10:$P$20,"")="SI",T76=""),"Criterio Clas. 5",""),IF(AND(_xlfn.XLOOKUP($C$14,_Requeridos!$A$10:$A$20,_Requeridos!$Q$10:$Q$20,"")="SI",U76=""),"Ubicación técnica",""),IF(AND(_xlfn.XLOOKUP($C$14,_Requeridos!$A$10:$A$20,_Requeridos!$R$10:$R$20,"")="SI",X76=""),"Centro",""),IF(AND(_xlfn.XLOOKUP($C$14,_Requeridos!$A$10:$A$20,_Requeridos!$S$10:$S$20,"")="SI",Y76=""),"Código País",""),IF(AND(_xlfn.XLOOKUP($C$14,_Requeridos!$A$10:$A$20,_Requeridos!$T$10:$T$20,"")="SI",Z76=""),"Emplazamiento",""),IF(AND(_xlfn.XLOOKUP($C$14,_Requeridos!$A$10:$A$20,_Requeridos!$U$10:$U$20,"")="SI",AB76=""),"Centro de Costo",""),IF(AND(_xlfn.XLOOKUP($C$14,_Requeridos!$A$10:$A$20,_Requeridos!$V$10:$V$20,"")="SI",AC76=""),"Número de personal",""),IF(AND(_xlfn.XLOOKUP($C$14,_Requeridos!$A$10:$A$20,_Requeridos!$W$10:$W$20,"")="SI",AH76=""),"Valor Unitario","")),"✅ Completo"))</f>
        <v/>
      </c>
      <c r="AK76" s="52"/>
    </row>
    <row r="77" spans="1:37" s="37" customFormat="1" x14ac:dyDescent="0.35">
      <c r="A77" s="31"/>
      <c r="B77" s="56">
        <v>56</v>
      </c>
      <c r="C77" s="57"/>
      <c r="D77" s="57"/>
      <c r="E77" s="57"/>
      <c r="F77" s="57"/>
      <c r="G77" s="58" t="str">
        <f>IFERROR(_xlfn.XLOOKUP(F77,Clase!$C$2:$C$292,Clase!$B$2:$B$292,""),"")</f>
        <v/>
      </c>
      <c r="H77" s="57"/>
      <c r="I77" s="59"/>
      <c r="J77" s="57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7"/>
      <c r="AC77" s="57"/>
      <c r="AD77" s="58" t="str">
        <f>IFERROR(_xlfn.XLOOKUP(AB77,Ceco!$B$2:$B$901,Ceco!$C$2:$C$901,""),"")</f>
        <v/>
      </c>
      <c r="AE77" s="57"/>
      <c r="AF77" s="57"/>
      <c r="AG77" s="60"/>
      <c r="AH77" s="57"/>
      <c r="AI77" s="61"/>
      <c r="AJ77" s="62" t="str">
        <f>IF(COUNTA(C77,D77,E77,F77,H77,I77,L77,M77,N77,P77,Q77,R77,S77,T77,U77,X77,Y77,Z77,AB77,AC77,AH77)=0,"",IF(LEN(_xlfn.TEXTJOIN(", ",TRUE,IF(AND(_xlfn.XLOOKUP($C$14,_Requeridos!$A$10:$A$20,_Requeridos!$B$10:$B$20,"")="SI",C77=""),"Orden de Inversión",""),IF(AND(_xlfn.XLOOKUP($C$14,_Requeridos!$A$10:$A$20,_Requeridos!$C$10:$C$20,"")="SI",D77=""),"Elemento PEP",""),IF(AND(_xlfn.XLOOKUP($C$14,_Requeridos!$A$10:$A$20,_Requeridos!$D$10:$D$20,"")="SI",E77=""),"Pedido",""),IF(AND(_xlfn.XLOOKUP($C$14,_Requeridos!$A$10:$A$20,_Requeridos!$E$10:$E$20,"")="SI",F77=""),"Descripción Activo SAP",""),IF(AND(_xlfn.XLOOKUP($C$14,_Requeridos!$A$10:$A$20,_Requeridos!$F$10:$F$20,"")="SI",G77=""),"Clase",""),IF(AND(_xlfn.XLOOKUP($C$14,_Requeridos!$A$10:$A$20,_Requeridos!$G$10:$G$20,"")="SI",H77=""),"Cantidad",""),IF(AND(_xlfn.XLOOKUP($C$14,_Requeridos!$A$10:$A$20,_Requeridos!$H$10:$H$20,"")="SI",I77=""),"Nombre principal AF",""),IF(AND(_xlfn.XLOOKUP($C$14,_Requeridos!$A$10:$A$20,_Requeridos!$I$10:$I$20,"")="SI",L77=""),"Fabricante",""),IF(AND(_xlfn.XLOOKUP($C$14,_Requeridos!$A$10:$A$20,_Requeridos!$J$10:$J$20,"")="SI",M77=""),"Nit Proveedor",""),IF(AND(_xlfn.XLOOKUP($C$14,_Requeridos!$A$10:$A$20,_Requeridos!$K$10:$K$20,"")="SI",N77=""),"Serie",""),IF(AND(_xlfn.XLOOKUP($C$14,_Requeridos!$A$10:$A$20,_Requeridos!$L$10:$L$20,"")="SI",P77=""),"Criterio Clas. 1",""),IF(AND(_xlfn.XLOOKUP($C$14,_Requeridos!$A$10:$A$20,_Requeridos!$M$10:$M$20,"")="SI",Q77=""),"Criterio Clas. 2",""),IF(AND(_xlfn.XLOOKUP($C$14,_Requeridos!$A$10:$A$20,_Requeridos!$N$10:$N$20,"")="SI",R77=""),"Criterio Clas. 3",""),IF(AND(_xlfn.XLOOKUP($C$14,_Requeridos!$A$10:$A$20,_Requeridos!$O$10:$O$20,"")="SI",S77=""),"Criterio Clas. 4",""),IF(AND(_xlfn.XLOOKUP($C$14,_Requeridos!$A$10:$A$20,_Requeridos!$P$10:$P$20,"")="SI",T77=""),"Criterio Clas. 5",""),IF(AND(_xlfn.XLOOKUP($C$14,_Requeridos!$A$10:$A$20,_Requeridos!$Q$10:$Q$20,"")="SI",U77=""),"Ubicación técnica",""),IF(AND(_xlfn.XLOOKUP($C$14,_Requeridos!$A$10:$A$20,_Requeridos!$R$10:$R$20,"")="SI",X77=""),"Centro",""),IF(AND(_xlfn.XLOOKUP($C$14,_Requeridos!$A$10:$A$20,_Requeridos!$S$10:$S$20,"")="SI",Y77=""),"Código País",""),IF(AND(_xlfn.XLOOKUP($C$14,_Requeridos!$A$10:$A$20,_Requeridos!$T$10:$T$20,"")="SI",Z77=""),"Emplazamiento",""),IF(AND(_xlfn.XLOOKUP($C$14,_Requeridos!$A$10:$A$20,_Requeridos!$U$10:$U$20,"")="SI",AB77=""),"Centro de Costo",""),IF(AND(_xlfn.XLOOKUP($C$14,_Requeridos!$A$10:$A$20,_Requeridos!$V$10:$V$20,"")="SI",AC77=""),"Número de personal",""),IF(AND(_xlfn.XLOOKUP($C$14,_Requeridos!$A$10:$A$20,_Requeridos!$W$10:$W$20,"")="SI",AH77=""),"Valor Unitario","")))&gt;0,"⚠️ Faltan: "&amp;_xlfn.TEXTJOIN(", ",TRUE,IF(AND(_xlfn.XLOOKUP($C$14,_Requeridos!$A$10:$A$20,_Requeridos!$B$10:$B$20,"")="SI",C77=""),"Orden de Inversión",""),IF(AND(_xlfn.XLOOKUP($C$14,_Requeridos!$A$10:$A$20,_Requeridos!$C$10:$C$20,"")="SI",D77=""),"Elemento PEP",""),IF(AND(_xlfn.XLOOKUP($C$14,_Requeridos!$A$10:$A$20,_Requeridos!$D$10:$D$20,"")="SI",E77=""),"Pedido",""),IF(AND(_xlfn.XLOOKUP($C$14,_Requeridos!$A$10:$A$20,_Requeridos!$E$10:$E$20,"")="SI",F77=""),"Descripción Activo SAP",""),IF(AND(_xlfn.XLOOKUP($C$14,_Requeridos!$A$10:$A$20,_Requeridos!$F$10:$F$20,"")="SI",G77=""),"Clase",""),IF(AND(_xlfn.XLOOKUP($C$14,_Requeridos!$A$10:$A$20,_Requeridos!$G$10:$G$20,"")="SI",H77=""),"Cantidad",""),IF(AND(_xlfn.XLOOKUP($C$14,_Requeridos!$A$10:$A$20,_Requeridos!$H$10:$H$20,"")="SI",I77=""),"Nombre principal AF",""),IF(AND(_xlfn.XLOOKUP($C$14,_Requeridos!$A$10:$A$20,_Requeridos!$I$10:$I$20,"")="SI",L77=""),"Fabricante",""),IF(AND(_xlfn.XLOOKUP($C$14,_Requeridos!$A$10:$A$20,_Requeridos!$J$10:$J$20,"")="SI",M77=""),"Nit Proveedor",""),IF(AND(_xlfn.XLOOKUP($C$14,_Requeridos!$A$10:$A$20,_Requeridos!$K$10:$K$20,"")="SI",N77=""),"Serie",""),IF(AND(_xlfn.XLOOKUP($C$14,_Requeridos!$A$10:$A$20,_Requeridos!$L$10:$L$20,"")="SI",P77=""),"Criterio Clas. 1",""),IF(AND(_xlfn.XLOOKUP($C$14,_Requeridos!$A$10:$A$20,_Requeridos!$M$10:$M$20,"")="SI",Q77=""),"Criterio Clas. 2",""),IF(AND(_xlfn.XLOOKUP($C$14,_Requeridos!$A$10:$A$20,_Requeridos!$N$10:$N$20,"")="SI",R77=""),"Criterio Clas. 3",""),IF(AND(_xlfn.XLOOKUP($C$14,_Requeridos!$A$10:$A$20,_Requeridos!$O$10:$O$20,"")="SI",S77=""),"Criterio Clas. 4",""),IF(AND(_xlfn.XLOOKUP($C$14,_Requeridos!$A$10:$A$20,_Requeridos!$P$10:$P$20,"")="SI",T77=""),"Criterio Clas. 5",""),IF(AND(_xlfn.XLOOKUP($C$14,_Requeridos!$A$10:$A$20,_Requeridos!$Q$10:$Q$20,"")="SI",U77=""),"Ubicación técnica",""),IF(AND(_xlfn.XLOOKUP($C$14,_Requeridos!$A$10:$A$20,_Requeridos!$R$10:$R$20,"")="SI",X77=""),"Centro",""),IF(AND(_xlfn.XLOOKUP($C$14,_Requeridos!$A$10:$A$20,_Requeridos!$S$10:$S$20,"")="SI",Y77=""),"Código País",""),IF(AND(_xlfn.XLOOKUP($C$14,_Requeridos!$A$10:$A$20,_Requeridos!$T$10:$T$20,"")="SI",Z77=""),"Emplazamiento",""),IF(AND(_xlfn.XLOOKUP($C$14,_Requeridos!$A$10:$A$20,_Requeridos!$U$10:$U$20,"")="SI",AB77=""),"Centro de Costo",""),IF(AND(_xlfn.XLOOKUP($C$14,_Requeridos!$A$10:$A$20,_Requeridos!$V$10:$V$20,"")="SI",AC77=""),"Número de personal",""),IF(AND(_xlfn.XLOOKUP($C$14,_Requeridos!$A$10:$A$20,_Requeridos!$W$10:$W$20,"")="SI",AH77=""),"Valor Unitario","")),"✅ Completo"))</f>
        <v/>
      </c>
      <c r="AK77" s="52"/>
    </row>
    <row r="78" spans="1:37" s="37" customFormat="1" x14ac:dyDescent="0.35">
      <c r="A78" s="31"/>
      <c r="B78" s="56">
        <v>57</v>
      </c>
      <c r="C78" s="57"/>
      <c r="D78" s="57"/>
      <c r="E78" s="57"/>
      <c r="F78" s="57"/>
      <c r="G78" s="58" t="str">
        <f>IFERROR(_xlfn.XLOOKUP(F78,Clase!$C$2:$C$292,Clase!$B$2:$B$292,""),"")</f>
        <v/>
      </c>
      <c r="H78" s="57"/>
      <c r="I78" s="59"/>
      <c r="J78" s="57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7"/>
      <c r="AC78" s="57"/>
      <c r="AD78" s="58" t="str">
        <f>IFERROR(_xlfn.XLOOKUP(AB78,Ceco!$B$2:$B$901,Ceco!$C$2:$C$901,""),"")</f>
        <v/>
      </c>
      <c r="AE78" s="57"/>
      <c r="AF78" s="57"/>
      <c r="AG78" s="60"/>
      <c r="AH78" s="57"/>
      <c r="AI78" s="61"/>
      <c r="AJ78" s="62" t="str">
        <f>IF(COUNTA(C78,D78,E78,F78,H78,I78,L78,M78,N78,P78,Q78,R78,S78,T78,U78,X78,Y78,Z78,AB78,AC78,AH78)=0,"",IF(LEN(_xlfn.TEXTJOIN(", ",TRUE,IF(AND(_xlfn.XLOOKUP($C$14,_Requeridos!$A$10:$A$20,_Requeridos!$B$10:$B$20,"")="SI",C78=""),"Orden de Inversión",""),IF(AND(_xlfn.XLOOKUP($C$14,_Requeridos!$A$10:$A$20,_Requeridos!$C$10:$C$20,"")="SI",D78=""),"Elemento PEP",""),IF(AND(_xlfn.XLOOKUP($C$14,_Requeridos!$A$10:$A$20,_Requeridos!$D$10:$D$20,"")="SI",E78=""),"Pedido",""),IF(AND(_xlfn.XLOOKUP($C$14,_Requeridos!$A$10:$A$20,_Requeridos!$E$10:$E$20,"")="SI",F78=""),"Descripción Activo SAP",""),IF(AND(_xlfn.XLOOKUP($C$14,_Requeridos!$A$10:$A$20,_Requeridos!$F$10:$F$20,"")="SI",G78=""),"Clase",""),IF(AND(_xlfn.XLOOKUP($C$14,_Requeridos!$A$10:$A$20,_Requeridos!$G$10:$G$20,"")="SI",H78=""),"Cantidad",""),IF(AND(_xlfn.XLOOKUP($C$14,_Requeridos!$A$10:$A$20,_Requeridos!$H$10:$H$20,"")="SI",I78=""),"Nombre principal AF",""),IF(AND(_xlfn.XLOOKUP($C$14,_Requeridos!$A$10:$A$20,_Requeridos!$I$10:$I$20,"")="SI",L78=""),"Fabricante",""),IF(AND(_xlfn.XLOOKUP($C$14,_Requeridos!$A$10:$A$20,_Requeridos!$J$10:$J$20,"")="SI",M78=""),"Nit Proveedor",""),IF(AND(_xlfn.XLOOKUP($C$14,_Requeridos!$A$10:$A$20,_Requeridos!$K$10:$K$20,"")="SI",N78=""),"Serie",""),IF(AND(_xlfn.XLOOKUP($C$14,_Requeridos!$A$10:$A$20,_Requeridos!$L$10:$L$20,"")="SI",P78=""),"Criterio Clas. 1",""),IF(AND(_xlfn.XLOOKUP($C$14,_Requeridos!$A$10:$A$20,_Requeridos!$M$10:$M$20,"")="SI",Q78=""),"Criterio Clas. 2",""),IF(AND(_xlfn.XLOOKUP($C$14,_Requeridos!$A$10:$A$20,_Requeridos!$N$10:$N$20,"")="SI",R78=""),"Criterio Clas. 3",""),IF(AND(_xlfn.XLOOKUP($C$14,_Requeridos!$A$10:$A$20,_Requeridos!$O$10:$O$20,"")="SI",S78=""),"Criterio Clas. 4",""),IF(AND(_xlfn.XLOOKUP($C$14,_Requeridos!$A$10:$A$20,_Requeridos!$P$10:$P$20,"")="SI",T78=""),"Criterio Clas. 5",""),IF(AND(_xlfn.XLOOKUP($C$14,_Requeridos!$A$10:$A$20,_Requeridos!$Q$10:$Q$20,"")="SI",U78=""),"Ubicación técnica",""),IF(AND(_xlfn.XLOOKUP($C$14,_Requeridos!$A$10:$A$20,_Requeridos!$R$10:$R$20,"")="SI",X78=""),"Centro",""),IF(AND(_xlfn.XLOOKUP($C$14,_Requeridos!$A$10:$A$20,_Requeridos!$S$10:$S$20,"")="SI",Y78=""),"Código País",""),IF(AND(_xlfn.XLOOKUP($C$14,_Requeridos!$A$10:$A$20,_Requeridos!$T$10:$T$20,"")="SI",Z78=""),"Emplazamiento",""),IF(AND(_xlfn.XLOOKUP($C$14,_Requeridos!$A$10:$A$20,_Requeridos!$U$10:$U$20,"")="SI",AB78=""),"Centro de Costo",""),IF(AND(_xlfn.XLOOKUP($C$14,_Requeridos!$A$10:$A$20,_Requeridos!$V$10:$V$20,"")="SI",AC78=""),"Número de personal",""),IF(AND(_xlfn.XLOOKUP($C$14,_Requeridos!$A$10:$A$20,_Requeridos!$W$10:$W$20,"")="SI",AH78=""),"Valor Unitario","")))&gt;0,"⚠️ Faltan: "&amp;_xlfn.TEXTJOIN(", ",TRUE,IF(AND(_xlfn.XLOOKUP($C$14,_Requeridos!$A$10:$A$20,_Requeridos!$B$10:$B$20,"")="SI",C78=""),"Orden de Inversión",""),IF(AND(_xlfn.XLOOKUP($C$14,_Requeridos!$A$10:$A$20,_Requeridos!$C$10:$C$20,"")="SI",D78=""),"Elemento PEP",""),IF(AND(_xlfn.XLOOKUP($C$14,_Requeridos!$A$10:$A$20,_Requeridos!$D$10:$D$20,"")="SI",E78=""),"Pedido",""),IF(AND(_xlfn.XLOOKUP($C$14,_Requeridos!$A$10:$A$20,_Requeridos!$E$10:$E$20,"")="SI",F78=""),"Descripción Activo SAP",""),IF(AND(_xlfn.XLOOKUP($C$14,_Requeridos!$A$10:$A$20,_Requeridos!$F$10:$F$20,"")="SI",G78=""),"Clase",""),IF(AND(_xlfn.XLOOKUP($C$14,_Requeridos!$A$10:$A$20,_Requeridos!$G$10:$G$20,"")="SI",H78=""),"Cantidad",""),IF(AND(_xlfn.XLOOKUP($C$14,_Requeridos!$A$10:$A$20,_Requeridos!$H$10:$H$20,"")="SI",I78=""),"Nombre principal AF",""),IF(AND(_xlfn.XLOOKUP($C$14,_Requeridos!$A$10:$A$20,_Requeridos!$I$10:$I$20,"")="SI",L78=""),"Fabricante",""),IF(AND(_xlfn.XLOOKUP($C$14,_Requeridos!$A$10:$A$20,_Requeridos!$J$10:$J$20,"")="SI",M78=""),"Nit Proveedor",""),IF(AND(_xlfn.XLOOKUP($C$14,_Requeridos!$A$10:$A$20,_Requeridos!$K$10:$K$20,"")="SI",N78=""),"Serie",""),IF(AND(_xlfn.XLOOKUP($C$14,_Requeridos!$A$10:$A$20,_Requeridos!$L$10:$L$20,"")="SI",P78=""),"Criterio Clas. 1",""),IF(AND(_xlfn.XLOOKUP($C$14,_Requeridos!$A$10:$A$20,_Requeridos!$M$10:$M$20,"")="SI",Q78=""),"Criterio Clas. 2",""),IF(AND(_xlfn.XLOOKUP($C$14,_Requeridos!$A$10:$A$20,_Requeridos!$N$10:$N$20,"")="SI",R78=""),"Criterio Clas. 3",""),IF(AND(_xlfn.XLOOKUP($C$14,_Requeridos!$A$10:$A$20,_Requeridos!$O$10:$O$20,"")="SI",S78=""),"Criterio Clas. 4",""),IF(AND(_xlfn.XLOOKUP($C$14,_Requeridos!$A$10:$A$20,_Requeridos!$P$10:$P$20,"")="SI",T78=""),"Criterio Clas. 5",""),IF(AND(_xlfn.XLOOKUP($C$14,_Requeridos!$A$10:$A$20,_Requeridos!$Q$10:$Q$20,"")="SI",U78=""),"Ubicación técnica",""),IF(AND(_xlfn.XLOOKUP($C$14,_Requeridos!$A$10:$A$20,_Requeridos!$R$10:$R$20,"")="SI",X78=""),"Centro",""),IF(AND(_xlfn.XLOOKUP($C$14,_Requeridos!$A$10:$A$20,_Requeridos!$S$10:$S$20,"")="SI",Y78=""),"Código País",""),IF(AND(_xlfn.XLOOKUP($C$14,_Requeridos!$A$10:$A$20,_Requeridos!$T$10:$T$20,"")="SI",Z78=""),"Emplazamiento",""),IF(AND(_xlfn.XLOOKUP($C$14,_Requeridos!$A$10:$A$20,_Requeridos!$U$10:$U$20,"")="SI",AB78=""),"Centro de Costo",""),IF(AND(_xlfn.XLOOKUP($C$14,_Requeridos!$A$10:$A$20,_Requeridos!$V$10:$V$20,"")="SI",AC78=""),"Número de personal",""),IF(AND(_xlfn.XLOOKUP($C$14,_Requeridos!$A$10:$A$20,_Requeridos!$W$10:$W$20,"")="SI",AH78=""),"Valor Unitario","")),"✅ Completo"))</f>
        <v/>
      </c>
      <c r="AK78" s="52"/>
    </row>
    <row r="79" spans="1:37" s="37" customFormat="1" x14ac:dyDescent="0.35">
      <c r="A79" s="31"/>
      <c r="B79" s="56">
        <v>58</v>
      </c>
      <c r="C79" s="57"/>
      <c r="D79" s="57"/>
      <c r="E79" s="57"/>
      <c r="F79" s="57"/>
      <c r="G79" s="58" t="str">
        <f>IFERROR(_xlfn.XLOOKUP(F79,Clase!$C$2:$C$292,Clase!$B$2:$B$292,""),"")</f>
        <v/>
      </c>
      <c r="H79" s="57"/>
      <c r="I79" s="59"/>
      <c r="J79" s="57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7"/>
      <c r="AC79" s="57"/>
      <c r="AD79" s="58" t="str">
        <f>IFERROR(_xlfn.XLOOKUP(AB79,Ceco!$B$2:$B$901,Ceco!$C$2:$C$901,""),"")</f>
        <v/>
      </c>
      <c r="AE79" s="57"/>
      <c r="AF79" s="57"/>
      <c r="AG79" s="60"/>
      <c r="AH79" s="57"/>
      <c r="AI79" s="61"/>
      <c r="AJ79" s="62" t="str">
        <f>IF(COUNTA(C79,D79,E79,F79,H79,I79,L79,M79,N79,P79,Q79,R79,S79,T79,U79,X79,Y79,Z79,AB79,AC79,AH79)=0,"",IF(LEN(_xlfn.TEXTJOIN(", ",TRUE,IF(AND(_xlfn.XLOOKUP($C$14,_Requeridos!$A$10:$A$20,_Requeridos!$B$10:$B$20,"")="SI",C79=""),"Orden de Inversión",""),IF(AND(_xlfn.XLOOKUP($C$14,_Requeridos!$A$10:$A$20,_Requeridos!$C$10:$C$20,"")="SI",D79=""),"Elemento PEP",""),IF(AND(_xlfn.XLOOKUP($C$14,_Requeridos!$A$10:$A$20,_Requeridos!$D$10:$D$20,"")="SI",E79=""),"Pedido",""),IF(AND(_xlfn.XLOOKUP($C$14,_Requeridos!$A$10:$A$20,_Requeridos!$E$10:$E$20,"")="SI",F79=""),"Descripción Activo SAP",""),IF(AND(_xlfn.XLOOKUP($C$14,_Requeridos!$A$10:$A$20,_Requeridos!$F$10:$F$20,"")="SI",G79=""),"Clase",""),IF(AND(_xlfn.XLOOKUP($C$14,_Requeridos!$A$10:$A$20,_Requeridos!$G$10:$G$20,"")="SI",H79=""),"Cantidad",""),IF(AND(_xlfn.XLOOKUP($C$14,_Requeridos!$A$10:$A$20,_Requeridos!$H$10:$H$20,"")="SI",I79=""),"Nombre principal AF",""),IF(AND(_xlfn.XLOOKUP($C$14,_Requeridos!$A$10:$A$20,_Requeridos!$I$10:$I$20,"")="SI",L79=""),"Fabricante",""),IF(AND(_xlfn.XLOOKUP($C$14,_Requeridos!$A$10:$A$20,_Requeridos!$J$10:$J$20,"")="SI",M79=""),"Nit Proveedor",""),IF(AND(_xlfn.XLOOKUP($C$14,_Requeridos!$A$10:$A$20,_Requeridos!$K$10:$K$20,"")="SI",N79=""),"Serie",""),IF(AND(_xlfn.XLOOKUP($C$14,_Requeridos!$A$10:$A$20,_Requeridos!$L$10:$L$20,"")="SI",P79=""),"Criterio Clas. 1",""),IF(AND(_xlfn.XLOOKUP($C$14,_Requeridos!$A$10:$A$20,_Requeridos!$M$10:$M$20,"")="SI",Q79=""),"Criterio Clas. 2",""),IF(AND(_xlfn.XLOOKUP($C$14,_Requeridos!$A$10:$A$20,_Requeridos!$N$10:$N$20,"")="SI",R79=""),"Criterio Clas. 3",""),IF(AND(_xlfn.XLOOKUP($C$14,_Requeridos!$A$10:$A$20,_Requeridos!$O$10:$O$20,"")="SI",S79=""),"Criterio Clas. 4",""),IF(AND(_xlfn.XLOOKUP($C$14,_Requeridos!$A$10:$A$20,_Requeridos!$P$10:$P$20,"")="SI",T79=""),"Criterio Clas. 5",""),IF(AND(_xlfn.XLOOKUP($C$14,_Requeridos!$A$10:$A$20,_Requeridos!$Q$10:$Q$20,"")="SI",U79=""),"Ubicación técnica",""),IF(AND(_xlfn.XLOOKUP($C$14,_Requeridos!$A$10:$A$20,_Requeridos!$R$10:$R$20,"")="SI",X79=""),"Centro",""),IF(AND(_xlfn.XLOOKUP($C$14,_Requeridos!$A$10:$A$20,_Requeridos!$S$10:$S$20,"")="SI",Y79=""),"Código País",""),IF(AND(_xlfn.XLOOKUP($C$14,_Requeridos!$A$10:$A$20,_Requeridos!$T$10:$T$20,"")="SI",Z79=""),"Emplazamiento",""),IF(AND(_xlfn.XLOOKUP($C$14,_Requeridos!$A$10:$A$20,_Requeridos!$U$10:$U$20,"")="SI",AB79=""),"Centro de Costo",""),IF(AND(_xlfn.XLOOKUP($C$14,_Requeridos!$A$10:$A$20,_Requeridos!$V$10:$V$20,"")="SI",AC79=""),"Número de personal",""),IF(AND(_xlfn.XLOOKUP($C$14,_Requeridos!$A$10:$A$20,_Requeridos!$W$10:$W$20,"")="SI",AH79=""),"Valor Unitario","")))&gt;0,"⚠️ Faltan: "&amp;_xlfn.TEXTJOIN(", ",TRUE,IF(AND(_xlfn.XLOOKUP($C$14,_Requeridos!$A$10:$A$20,_Requeridos!$B$10:$B$20,"")="SI",C79=""),"Orden de Inversión",""),IF(AND(_xlfn.XLOOKUP($C$14,_Requeridos!$A$10:$A$20,_Requeridos!$C$10:$C$20,"")="SI",D79=""),"Elemento PEP",""),IF(AND(_xlfn.XLOOKUP($C$14,_Requeridos!$A$10:$A$20,_Requeridos!$D$10:$D$20,"")="SI",E79=""),"Pedido",""),IF(AND(_xlfn.XLOOKUP($C$14,_Requeridos!$A$10:$A$20,_Requeridos!$E$10:$E$20,"")="SI",F79=""),"Descripción Activo SAP",""),IF(AND(_xlfn.XLOOKUP($C$14,_Requeridos!$A$10:$A$20,_Requeridos!$F$10:$F$20,"")="SI",G79=""),"Clase",""),IF(AND(_xlfn.XLOOKUP($C$14,_Requeridos!$A$10:$A$20,_Requeridos!$G$10:$G$20,"")="SI",H79=""),"Cantidad",""),IF(AND(_xlfn.XLOOKUP($C$14,_Requeridos!$A$10:$A$20,_Requeridos!$H$10:$H$20,"")="SI",I79=""),"Nombre principal AF",""),IF(AND(_xlfn.XLOOKUP($C$14,_Requeridos!$A$10:$A$20,_Requeridos!$I$10:$I$20,"")="SI",L79=""),"Fabricante",""),IF(AND(_xlfn.XLOOKUP($C$14,_Requeridos!$A$10:$A$20,_Requeridos!$J$10:$J$20,"")="SI",M79=""),"Nit Proveedor",""),IF(AND(_xlfn.XLOOKUP($C$14,_Requeridos!$A$10:$A$20,_Requeridos!$K$10:$K$20,"")="SI",N79=""),"Serie",""),IF(AND(_xlfn.XLOOKUP($C$14,_Requeridos!$A$10:$A$20,_Requeridos!$L$10:$L$20,"")="SI",P79=""),"Criterio Clas. 1",""),IF(AND(_xlfn.XLOOKUP($C$14,_Requeridos!$A$10:$A$20,_Requeridos!$M$10:$M$20,"")="SI",Q79=""),"Criterio Clas. 2",""),IF(AND(_xlfn.XLOOKUP($C$14,_Requeridos!$A$10:$A$20,_Requeridos!$N$10:$N$20,"")="SI",R79=""),"Criterio Clas. 3",""),IF(AND(_xlfn.XLOOKUP($C$14,_Requeridos!$A$10:$A$20,_Requeridos!$O$10:$O$20,"")="SI",S79=""),"Criterio Clas. 4",""),IF(AND(_xlfn.XLOOKUP($C$14,_Requeridos!$A$10:$A$20,_Requeridos!$P$10:$P$20,"")="SI",T79=""),"Criterio Clas. 5",""),IF(AND(_xlfn.XLOOKUP($C$14,_Requeridos!$A$10:$A$20,_Requeridos!$Q$10:$Q$20,"")="SI",U79=""),"Ubicación técnica",""),IF(AND(_xlfn.XLOOKUP($C$14,_Requeridos!$A$10:$A$20,_Requeridos!$R$10:$R$20,"")="SI",X79=""),"Centro",""),IF(AND(_xlfn.XLOOKUP($C$14,_Requeridos!$A$10:$A$20,_Requeridos!$S$10:$S$20,"")="SI",Y79=""),"Código País",""),IF(AND(_xlfn.XLOOKUP($C$14,_Requeridos!$A$10:$A$20,_Requeridos!$T$10:$T$20,"")="SI",Z79=""),"Emplazamiento",""),IF(AND(_xlfn.XLOOKUP($C$14,_Requeridos!$A$10:$A$20,_Requeridos!$U$10:$U$20,"")="SI",AB79=""),"Centro de Costo",""),IF(AND(_xlfn.XLOOKUP($C$14,_Requeridos!$A$10:$A$20,_Requeridos!$V$10:$V$20,"")="SI",AC79=""),"Número de personal",""),IF(AND(_xlfn.XLOOKUP($C$14,_Requeridos!$A$10:$A$20,_Requeridos!$W$10:$W$20,"")="SI",AH79=""),"Valor Unitario","")),"✅ Completo"))</f>
        <v/>
      </c>
      <c r="AK79" s="52"/>
    </row>
    <row r="80" spans="1:37" s="37" customFormat="1" x14ac:dyDescent="0.35">
      <c r="A80" s="31"/>
      <c r="B80" s="56">
        <v>59</v>
      </c>
      <c r="C80" s="57"/>
      <c r="D80" s="57"/>
      <c r="E80" s="57"/>
      <c r="F80" s="57"/>
      <c r="G80" s="58" t="str">
        <f>IFERROR(_xlfn.XLOOKUP(F80,Clase!$C$2:$C$292,Clase!$B$2:$B$292,""),"")</f>
        <v/>
      </c>
      <c r="H80" s="57"/>
      <c r="I80" s="59"/>
      <c r="J80" s="57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7"/>
      <c r="AC80" s="57"/>
      <c r="AD80" s="58" t="str">
        <f>IFERROR(_xlfn.XLOOKUP(AB80,Ceco!$B$2:$B$901,Ceco!$C$2:$C$901,""),"")</f>
        <v/>
      </c>
      <c r="AE80" s="57"/>
      <c r="AF80" s="57"/>
      <c r="AG80" s="60"/>
      <c r="AH80" s="57"/>
      <c r="AI80" s="61"/>
      <c r="AJ80" s="62" t="str">
        <f>IF(COUNTA(C80,D80,E80,F80,H80,I80,L80,M80,N80,P80,Q80,R80,S80,T80,U80,X80,Y80,Z80,AB80,AC80,AH80)=0,"",IF(LEN(_xlfn.TEXTJOIN(", ",TRUE,IF(AND(_xlfn.XLOOKUP($C$14,_Requeridos!$A$10:$A$20,_Requeridos!$B$10:$B$20,"")="SI",C80=""),"Orden de Inversión",""),IF(AND(_xlfn.XLOOKUP($C$14,_Requeridos!$A$10:$A$20,_Requeridos!$C$10:$C$20,"")="SI",D80=""),"Elemento PEP",""),IF(AND(_xlfn.XLOOKUP($C$14,_Requeridos!$A$10:$A$20,_Requeridos!$D$10:$D$20,"")="SI",E80=""),"Pedido",""),IF(AND(_xlfn.XLOOKUP($C$14,_Requeridos!$A$10:$A$20,_Requeridos!$E$10:$E$20,"")="SI",F80=""),"Descripción Activo SAP",""),IF(AND(_xlfn.XLOOKUP($C$14,_Requeridos!$A$10:$A$20,_Requeridos!$F$10:$F$20,"")="SI",G80=""),"Clase",""),IF(AND(_xlfn.XLOOKUP($C$14,_Requeridos!$A$10:$A$20,_Requeridos!$G$10:$G$20,"")="SI",H80=""),"Cantidad",""),IF(AND(_xlfn.XLOOKUP($C$14,_Requeridos!$A$10:$A$20,_Requeridos!$H$10:$H$20,"")="SI",I80=""),"Nombre principal AF",""),IF(AND(_xlfn.XLOOKUP($C$14,_Requeridos!$A$10:$A$20,_Requeridos!$I$10:$I$20,"")="SI",L80=""),"Fabricante",""),IF(AND(_xlfn.XLOOKUP($C$14,_Requeridos!$A$10:$A$20,_Requeridos!$J$10:$J$20,"")="SI",M80=""),"Nit Proveedor",""),IF(AND(_xlfn.XLOOKUP($C$14,_Requeridos!$A$10:$A$20,_Requeridos!$K$10:$K$20,"")="SI",N80=""),"Serie",""),IF(AND(_xlfn.XLOOKUP($C$14,_Requeridos!$A$10:$A$20,_Requeridos!$L$10:$L$20,"")="SI",P80=""),"Criterio Clas. 1",""),IF(AND(_xlfn.XLOOKUP($C$14,_Requeridos!$A$10:$A$20,_Requeridos!$M$10:$M$20,"")="SI",Q80=""),"Criterio Clas. 2",""),IF(AND(_xlfn.XLOOKUP($C$14,_Requeridos!$A$10:$A$20,_Requeridos!$N$10:$N$20,"")="SI",R80=""),"Criterio Clas. 3",""),IF(AND(_xlfn.XLOOKUP($C$14,_Requeridos!$A$10:$A$20,_Requeridos!$O$10:$O$20,"")="SI",S80=""),"Criterio Clas. 4",""),IF(AND(_xlfn.XLOOKUP($C$14,_Requeridos!$A$10:$A$20,_Requeridos!$P$10:$P$20,"")="SI",T80=""),"Criterio Clas. 5",""),IF(AND(_xlfn.XLOOKUP($C$14,_Requeridos!$A$10:$A$20,_Requeridos!$Q$10:$Q$20,"")="SI",U80=""),"Ubicación técnica",""),IF(AND(_xlfn.XLOOKUP($C$14,_Requeridos!$A$10:$A$20,_Requeridos!$R$10:$R$20,"")="SI",X80=""),"Centro",""),IF(AND(_xlfn.XLOOKUP($C$14,_Requeridos!$A$10:$A$20,_Requeridos!$S$10:$S$20,"")="SI",Y80=""),"Código País",""),IF(AND(_xlfn.XLOOKUP($C$14,_Requeridos!$A$10:$A$20,_Requeridos!$T$10:$T$20,"")="SI",Z80=""),"Emplazamiento",""),IF(AND(_xlfn.XLOOKUP($C$14,_Requeridos!$A$10:$A$20,_Requeridos!$U$10:$U$20,"")="SI",AB80=""),"Centro de Costo",""),IF(AND(_xlfn.XLOOKUP($C$14,_Requeridos!$A$10:$A$20,_Requeridos!$V$10:$V$20,"")="SI",AC80=""),"Número de personal",""),IF(AND(_xlfn.XLOOKUP($C$14,_Requeridos!$A$10:$A$20,_Requeridos!$W$10:$W$20,"")="SI",AH80=""),"Valor Unitario","")))&gt;0,"⚠️ Faltan: "&amp;_xlfn.TEXTJOIN(", ",TRUE,IF(AND(_xlfn.XLOOKUP($C$14,_Requeridos!$A$10:$A$20,_Requeridos!$B$10:$B$20,"")="SI",C80=""),"Orden de Inversión",""),IF(AND(_xlfn.XLOOKUP($C$14,_Requeridos!$A$10:$A$20,_Requeridos!$C$10:$C$20,"")="SI",D80=""),"Elemento PEP",""),IF(AND(_xlfn.XLOOKUP($C$14,_Requeridos!$A$10:$A$20,_Requeridos!$D$10:$D$20,"")="SI",E80=""),"Pedido",""),IF(AND(_xlfn.XLOOKUP($C$14,_Requeridos!$A$10:$A$20,_Requeridos!$E$10:$E$20,"")="SI",F80=""),"Descripción Activo SAP",""),IF(AND(_xlfn.XLOOKUP($C$14,_Requeridos!$A$10:$A$20,_Requeridos!$F$10:$F$20,"")="SI",G80=""),"Clase",""),IF(AND(_xlfn.XLOOKUP($C$14,_Requeridos!$A$10:$A$20,_Requeridos!$G$10:$G$20,"")="SI",H80=""),"Cantidad",""),IF(AND(_xlfn.XLOOKUP($C$14,_Requeridos!$A$10:$A$20,_Requeridos!$H$10:$H$20,"")="SI",I80=""),"Nombre principal AF",""),IF(AND(_xlfn.XLOOKUP($C$14,_Requeridos!$A$10:$A$20,_Requeridos!$I$10:$I$20,"")="SI",L80=""),"Fabricante",""),IF(AND(_xlfn.XLOOKUP($C$14,_Requeridos!$A$10:$A$20,_Requeridos!$J$10:$J$20,"")="SI",M80=""),"Nit Proveedor",""),IF(AND(_xlfn.XLOOKUP($C$14,_Requeridos!$A$10:$A$20,_Requeridos!$K$10:$K$20,"")="SI",N80=""),"Serie",""),IF(AND(_xlfn.XLOOKUP($C$14,_Requeridos!$A$10:$A$20,_Requeridos!$L$10:$L$20,"")="SI",P80=""),"Criterio Clas. 1",""),IF(AND(_xlfn.XLOOKUP($C$14,_Requeridos!$A$10:$A$20,_Requeridos!$M$10:$M$20,"")="SI",Q80=""),"Criterio Clas. 2",""),IF(AND(_xlfn.XLOOKUP($C$14,_Requeridos!$A$10:$A$20,_Requeridos!$N$10:$N$20,"")="SI",R80=""),"Criterio Clas. 3",""),IF(AND(_xlfn.XLOOKUP($C$14,_Requeridos!$A$10:$A$20,_Requeridos!$O$10:$O$20,"")="SI",S80=""),"Criterio Clas. 4",""),IF(AND(_xlfn.XLOOKUP($C$14,_Requeridos!$A$10:$A$20,_Requeridos!$P$10:$P$20,"")="SI",T80=""),"Criterio Clas. 5",""),IF(AND(_xlfn.XLOOKUP($C$14,_Requeridos!$A$10:$A$20,_Requeridos!$Q$10:$Q$20,"")="SI",U80=""),"Ubicación técnica",""),IF(AND(_xlfn.XLOOKUP($C$14,_Requeridos!$A$10:$A$20,_Requeridos!$R$10:$R$20,"")="SI",X80=""),"Centro",""),IF(AND(_xlfn.XLOOKUP($C$14,_Requeridos!$A$10:$A$20,_Requeridos!$S$10:$S$20,"")="SI",Y80=""),"Código País",""),IF(AND(_xlfn.XLOOKUP($C$14,_Requeridos!$A$10:$A$20,_Requeridos!$T$10:$T$20,"")="SI",Z80=""),"Emplazamiento",""),IF(AND(_xlfn.XLOOKUP($C$14,_Requeridos!$A$10:$A$20,_Requeridos!$U$10:$U$20,"")="SI",AB80=""),"Centro de Costo",""),IF(AND(_xlfn.XLOOKUP($C$14,_Requeridos!$A$10:$A$20,_Requeridos!$V$10:$V$20,"")="SI",AC80=""),"Número de personal",""),IF(AND(_xlfn.XLOOKUP($C$14,_Requeridos!$A$10:$A$20,_Requeridos!$W$10:$W$20,"")="SI",AH80=""),"Valor Unitario","")),"✅ Completo"))</f>
        <v/>
      </c>
      <c r="AK80" s="52"/>
    </row>
    <row r="81" spans="1:37" s="37" customFormat="1" x14ac:dyDescent="0.35">
      <c r="A81" s="31"/>
      <c r="B81" s="56">
        <v>60</v>
      </c>
      <c r="C81" s="57"/>
      <c r="D81" s="57"/>
      <c r="E81" s="57"/>
      <c r="F81" s="57"/>
      <c r="G81" s="58" t="str">
        <f>IFERROR(_xlfn.XLOOKUP(F81,Clase!$C$2:$C$292,Clase!$B$2:$B$292,""),"")</f>
        <v/>
      </c>
      <c r="H81" s="57"/>
      <c r="I81" s="59"/>
      <c r="J81" s="57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7"/>
      <c r="AC81" s="57"/>
      <c r="AD81" s="58" t="str">
        <f>IFERROR(_xlfn.XLOOKUP(AB81,Ceco!$B$2:$B$901,Ceco!$C$2:$C$901,""),"")</f>
        <v/>
      </c>
      <c r="AE81" s="57"/>
      <c r="AF81" s="57"/>
      <c r="AG81" s="60"/>
      <c r="AH81" s="57"/>
      <c r="AI81" s="61"/>
      <c r="AJ81" s="62" t="str">
        <f>IF(COUNTA(C81,D81,E81,F81,H81,I81,L81,M81,N81,P81,Q81,R81,S81,T81,U81,X81,Y81,Z81,AB81,AC81,AH81)=0,"",IF(LEN(_xlfn.TEXTJOIN(", ",TRUE,IF(AND(_xlfn.XLOOKUP($C$14,_Requeridos!$A$10:$A$20,_Requeridos!$B$10:$B$20,"")="SI",C81=""),"Orden de Inversión",""),IF(AND(_xlfn.XLOOKUP($C$14,_Requeridos!$A$10:$A$20,_Requeridos!$C$10:$C$20,"")="SI",D81=""),"Elemento PEP",""),IF(AND(_xlfn.XLOOKUP($C$14,_Requeridos!$A$10:$A$20,_Requeridos!$D$10:$D$20,"")="SI",E81=""),"Pedido",""),IF(AND(_xlfn.XLOOKUP($C$14,_Requeridos!$A$10:$A$20,_Requeridos!$E$10:$E$20,"")="SI",F81=""),"Descripción Activo SAP",""),IF(AND(_xlfn.XLOOKUP($C$14,_Requeridos!$A$10:$A$20,_Requeridos!$F$10:$F$20,"")="SI",G81=""),"Clase",""),IF(AND(_xlfn.XLOOKUP($C$14,_Requeridos!$A$10:$A$20,_Requeridos!$G$10:$G$20,"")="SI",H81=""),"Cantidad",""),IF(AND(_xlfn.XLOOKUP($C$14,_Requeridos!$A$10:$A$20,_Requeridos!$H$10:$H$20,"")="SI",I81=""),"Nombre principal AF",""),IF(AND(_xlfn.XLOOKUP($C$14,_Requeridos!$A$10:$A$20,_Requeridos!$I$10:$I$20,"")="SI",L81=""),"Fabricante",""),IF(AND(_xlfn.XLOOKUP($C$14,_Requeridos!$A$10:$A$20,_Requeridos!$J$10:$J$20,"")="SI",M81=""),"Nit Proveedor",""),IF(AND(_xlfn.XLOOKUP($C$14,_Requeridos!$A$10:$A$20,_Requeridos!$K$10:$K$20,"")="SI",N81=""),"Serie",""),IF(AND(_xlfn.XLOOKUP($C$14,_Requeridos!$A$10:$A$20,_Requeridos!$L$10:$L$20,"")="SI",P81=""),"Criterio Clas. 1",""),IF(AND(_xlfn.XLOOKUP($C$14,_Requeridos!$A$10:$A$20,_Requeridos!$M$10:$M$20,"")="SI",Q81=""),"Criterio Clas. 2",""),IF(AND(_xlfn.XLOOKUP($C$14,_Requeridos!$A$10:$A$20,_Requeridos!$N$10:$N$20,"")="SI",R81=""),"Criterio Clas. 3",""),IF(AND(_xlfn.XLOOKUP($C$14,_Requeridos!$A$10:$A$20,_Requeridos!$O$10:$O$20,"")="SI",S81=""),"Criterio Clas. 4",""),IF(AND(_xlfn.XLOOKUP($C$14,_Requeridos!$A$10:$A$20,_Requeridos!$P$10:$P$20,"")="SI",T81=""),"Criterio Clas. 5",""),IF(AND(_xlfn.XLOOKUP($C$14,_Requeridos!$A$10:$A$20,_Requeridos!$Q$10:$Q$20,"")="SI",U81=""),"Ubicación técnica",""),IF(AND(_xlfn.XLOOKUP($C$14,_Requeridos!$A$10:$A$20,_Requeridos!$R$10:$R$20,"")="SI",X81=""),"Centro",""),IF(AND(_xlfn.XLOOKUP($C$14,_Requeridos!$A$10:$A$20,_Requeridos!$S$10:$S$20,"")="SI",Y81=""),"Código País",""),IF(AND(_xlfn.XLOOKUP($C$14,_Requeridos!$A$10:$A$20,_Requeridos!$T$10:$T$20,"")="SI",Z81=""),"Emplazamiento",""),IF(AND(_xlfn.XLOOKUP($C$14,_Requeridos!$A$10:$A$20,_Requeridos!$U$10:$U$20,"")="SI",AB81=""),"Centro de Costo",""),IF(AND(_xlfn.XLOOKUP($C$14,_Requeridos!$A$10:$A$20,_Requeridos!$V$10:$V$20,"")="SI",AC81=""),"Número de personal",""),IF(AND(_xlfn.XLOOKUP($C$14,_Requeridos!$A$10:$A$20,_Requeridos!$W$10:$W$20,"")="SI",AH81=""),"Valor Unitario","")))&gt;0,"⚠️ Faltan: "&amp;_xlfn.TEXTJOIN(", ",TRUE,IF(AND(_xlfn.XLOOKUP($C$14,_Requeridos!$A$10:$A$20,_Requeridos!$B$10:$B$20,"")="SI",C81=""),"Orden de Inversión",""),IF(AND(_xlfn.XLOOKUP($C$14,_Requeridos!$A$10:$A$20,_Requeridos!$C$10:$C$20,"")="SI",D81=""),"Elemento PEP",""),IF(AND(_xlfn.XLOOKUP($C$14,_Requeridos!$A$10:$A$20,_Requeridos!$D$10:$D$20,"")="SI",E81=""),"Pedido",""),IF(AND(_xlfn.XLOOKUP($C$14,_Requeridos!$A$10:$A$20,_Requeridos!$E$10:$E$20,"")="SI",F81=""),"Descripción Activo SAP",""),IF(AND(_xlfn.XLOOKUP($C$14,_Requeridos!$A$10:$A$20,_Requeridos!$F$10:$F$20,"")="SI",G81=""),"Clase",""),IF(AND(_xlfn.XLOOKUP($C$14,_Requeridos!$A$10:$A$20,_Requeridos!$G$10:$G$20,"")="SI",H81=""),"Cantidad",""),IF(AND(_xlfn.XLOOKUP($C$14,_Requeridos!$A$10:$A$20,_Requeridos!$H$10:$H$20,"")="SI",I81=""),"Nombre principal AF",""),IF(AND(_xlfn.XLOOKUP($C$14,_Requeridos!$A$10:$A$20,_Requeridos!$I$10:$I$20,"")="SI",L81=""),"Fabricante",""),IF(AND(_xlfn.XLOOKUP($C$14,_Requeridos!$A$10:$A$20,_Requeridos!$J$10:$J$20,"")="SI",M81=""),"Nit Proveedor",""),IF(AND(_xlfn.XLOOKUP($C$14,_Requeridos!$A$10:$A$20,_Requeridos!$K$10:$K$20,"")="SI",N81=""),"Serie",""),IF(AND(_xlfn.XLOOKUP($C$14,_Requeridos!$A$10:$A$20,_Requeridos!$L$10:$L$20,"")="SI",P81=""),"Criterio Clas. 1",""),IF(AND(_xlfn.XLOOKUP($C$14,_Requeridos!$A$10:$A$20,_Requeridos!$M$10:$M$20,"")="SI",Q81=""),"Criterio Clas. 2",""),IF(AND(_xlfn.XLOOKUP($C$14,_Requeridos!$A$10:$A$20,_Requeridos!$N$10:$N$20,"")="SI",R81=""),"Criterio Clas. 3",""),IF(AND(_xlfn.XLOOKUP($C$14,_Requeridos!$A$10:$A$20,_Requeridos!$O$10:$O$20,"")="SI",S81=""),"Criterio Clas. 4",""),IF(AND(_xlfn.XLOOKUP($C$14,_Requeridos!$A$10:$A$20,_Requeridos!$P$10:$P$20,"")="SI",T81=""),"Criterio Clas. 5",""),IF(AND(_xlfn.XLOOKUP($C$14,_Requeridos!$A$10:$A$20,_Requeridos!$Q$10:$Q$20,"")="SI",U81=""),"Ubicación técnica",""),IF(AND(_xlfn.XLOOKUP($C$14,_Requeridos!$A$10:$A$20,_Requeridos!$R$10:$R$20,"")="SI",X81=""),"Centro",""),IF(AND(_xlfn.XLOOKUP($C$14,_Requeridos!$A$10:$A$20,_Requeridos!$S$10:$S$20,"")="SI",Y81=""),"Código País",""),IF(AND(_xlfn.XLOOKUP($C$14,_Requeridos!$A$10:$A$20,_Requeridos!$T$10:$T$20,"")="SI",Z81=""),"Emplazamiento",""),IF(AND(_xlfn.XLOOKUP($C$14,_Requeridos!$A$10:$A$20,_Requeridos!$U$10:$U$20,"")="SI",AB81=""),"Centro de Costo",""),IF(AND(_xlfn.XLOOKUP($C$14,_Requeridos!$A$10:$A$20,_Requeridos!$V$10:$V$20,"")="SI",AC81=""),"Número de personal",""),IF(AND(_xlfn.XLOOKUP($C$14,_Requeridos!$A$10:$A$20,_Requeridos!$W$10:$W$20,"")="SI",AH81=""),"Valor Unitario","")),"✅ Completo"))</f>
        <v/>
      </c>
      <c r="AK81" s="52"/>
    </row>
    <row r="82" spans="1:37" s="37" customFormat="1" x14ac:dyDescent="0.35">
      <c r="A82" s="31"/>
      <c r="B82" s="56">
        <v>61</v>
      </c>
      <c r="C82" s="57"/>
      <c r="D82" s="57"/>
      <c r="E82" s="57"/>
      <c r="F82" s="57"/>
      <c r="G82" s="58" t="str">
        <f>IFERROR(_xlfn.XLOOKUP(F82,Clase!$C$2:$C$292,Clase!$B$2:$B$292,""),"")</f>
        <v/>
      </c>
      <c r="H82" s="57"/>
      <c r="I82" s="59"/>
      <c r="J82" s="57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57"/>
      <c r="AC82" s="57"/>
      <c r="AD82" s="58" t="str">
        <f>IFERROR(_xlfn.XLOOKUP(AB82,Ceco!$B$2:$B$901,Ceco!$C$2:$C$901,""),"")</f>
        <v/>
      </c>
      <c r="AE82" s="57"/>
      <c r="AF82" s="57"/>
      <c r="AG82" s="60"/>
      <c r="AH82" s="57"/>
      <c r="AI82" s="61"/>
      <c r="AJ82" s="62" t="str">
        <f>IF(COUNTA(C82,D82,E82,F82,H82,I82,L82,M82,N82,P82,Q82,R82,S82,T82,U82,X82,Y82,Z82,AB82,AC82,AH82)=0,"",IF(LEN(_xlfn.TEXTJOIN(", ",TRUE,IF(AND(_xlfn.XLOOKUP($C$14,_Requeridos!$A$10:$A$20,_Requeridos!$B$10:$B$20,"")="SI",C82=""),"Orden de Inversión",""),IF(AND(_xlfn.XLOOKUP($C$14,_Requeridos!$A$10:$A$20,_Requeridos!$C$10:$C$20,"")="SI",D82=""),"Elemento PEP",""),IF(AND(_xlfn.XLOOKUP($C$14,_Requeridos!$A$10:$A$20,_Requeridos!$D$10:$D$20,"")="SI",E82=""),"Pedido",""),IF(AND(_xlfn.XLOOKUP($C$14,_Requeridos!$A$10:$A$20,_Requeridos!$E$10:$E$20,"")="SI",F82=""),"Descripción Activo SAP",""),IF(AND(_xlfn.XLOOKUP($C$14,_Requeridos!$A$10:$A$20,_Requeridos!$F$10:$F$20,"")="SI",G82=""),"Clase",""),IF(AND(_xlfn.XLOOKUP($C$14,_Requeridos!$A$10:$A$20,_Requeridos!$G$10:$G$20,"")="SI",H82=""),"Cantidad",""),IF(AND(_xlfn.XLOOKUP($C$14,_Requeridos!$A$10:$A$20,_Requeridos!$H$10:$H$20,"")="SI",I82=""),"Nombre principal AF",""),IF(AND(_xlfn.XLOOKUP($C$14,_Requeridos!$A$10:$A$20,_Requeridos!$I$10:$I$20,"")="SI",L82=""),"Fabricante",""),IF(AND(_xlfn.XLOOKUP($C$14,_Requeridos!$A$10:$A$20,_Requeridos!$J$10:$J$20,"")="SI",M82=""),"Nit Proveedor",""),IF(AND(_xlfn.XLOOKUP($C$14,_Requeridos!$A$10:$A$20,_Requeridos!$K$10:$K$20,"")="SI",N82=""),"Serie",""),IF(AND(_xlfn.XLOOKUP($C$14,_Requeridos!$A$10:$A$20,_Requeridos!$L$10:$L$20,"")="SI",P82=""),"Criterio Clas. 1",""),IF(AND(_xlfn.XLOOKUP($C$14,_Requeridos!$A$10:$A$20,_Requeridos!$M$10:$M$20,"")="SI",Q82=""),"Criterio Clas. 2",""),IF(AND(_xlfn.XLOOKUP($C$14,_Requeridos!$A$10:$A$20,_Requeridos!$N$10:$N$20,"")="SI",R82=""),"Criterio Clas. 3",""),IF(AND(_xlfn.XLOOKUP($C$14,_Requeridos!$A$10:$A$20,_Requeridos!$O$10:$O$20,"")="SI",S82=""),"Criterio Clas. 4",""),IF(AND(_xlfn.XLOOKUP($C$14,_Requeridos!$A$10:$A$20,_Requeridos!$P$10:$P$20,"")="SI",T82=""),"Criterio Clas. 5",""),IF(AND(_xlfn.XLOOKUP($C$14,_Requeridos!$A$10:$A$20,_Requeridos!$Q$10:$Q$20,"")="SI",U82=""),"Ubicación técnica",""),IF(AND(_xlfn.XLOOKUP($C$14,_Requeridos!$A$10:$A$20,_Requeridos!$R$10:$R$20,"")="SI",X82=""),"Centro",""),IF(AND(_xlfn.XLOOKUP($C$14,_Requeridos!$A$10:$A$20,_Requeridos!$S$10:$S$20,"")="SI",Y82=""),"Código País",""),IF(AND(_xlfn.XLOOKUP($C$14,_Requeridos!$A$10:$A$20,_Requeridos!$T$10:$T$20,"")="SI",Z82=""),"Emplazamiento",""),IF(AND(_xlfn.XLOOKUP($C$14,_Requeridos!$A$10:$A$20,_Requeridos!$U$10:$U$20,"")="SI",AB82=""),"Centro de Costo",""),IF(AND(_xlfn.XLOOKUP($C$14,_Requeridos!$A$10:$A$20,_Requeridos!$V$10:$V$20,"")="SI",AC82=""),"Número de personal",""),IF(AND(_xlfn.XLOOKUP($C$14,_Requeridos!$A$10:$A$20,_Requeridos!$W$10:$W$20,"")="SI",AH82=""),"Valor Unitario","")))&gt;0,"⚠️ Faltan: "&amp;_xlfn.TEXTJOIN(", ",TRUE,IF(AND(_xlfn.XLOOKUP($C$14,_Requeridos!$A$10:$A$20,_Requeridos!$B$10:$B$20,"")="SI",C82=""),"Orden de Inversión",""),IF(AND(_xlfn.XLOOKUP($C$14,_Requeridos!$A$10:$A$20,_Requeridos!$C$10:$C$20,"")="SI",D82=""),"Elemento PEP",""),IF(AND(_xlfn.XLOOKUP($C$14,_Requeridos!$A$10:$A$20,_Requeridos!$D$10:$D$20,"")="SI",E82=""),"Pedido",""),IF(AND(_xlfn.XLOOKUP($C$14,_Requeridos!$A$10:$A$20,_Requeridos!$E$10:$E$20,"")="SI",F82=""),"Descripción Activo SAP",""),IF(AND(_xlfn.XLOOKUP($C$14,_Requeridos!$A$10:$A$20,_Requeridos!$F$10:$F$20,"")="SI",G82=""),"Clase",""),IF(AND(_xlfn.XLOOKUP($C$14,_Requeridos!$A$10:$A$20,_Requeridos!$G$10:$G$20,"")="SI",H82=""),"Cantidad",""),IF(AND(_xlfn.XLOOKUP($C$14,_Requeridos!$A$10:$A$20,_Requeridos!$H$10:$H$20,"")="SI",I82=""),"Nombre principal AF",""),IF(AND(_xlfn.XLOOKUP($C$14,_Requeridos!$A$10:$A$20,_Requeridos!$I$10:$I$20,"")="SI",L82=""),"Fabricante",""),IF(AND(_xlfn.XLOOKUP($C$14,_Requeridos!$A$10:$A$20,_Requeridos!$J$10:$J$20,"")="SI",M82=""),"Nit Proveedor",""),IF(AND(_xlfn.XLOOKUP($C$14,_Requeridos!$A$10:$A$20,_Requeridos!$K$10:$K$20,"")="SI",N82=""),"Serie",""),IF(AND(_xlfn.XLOOKUP($C$14,_Requeridos!$A$10:$A$20,_Requeridos!$L$10:$L$20,"")="SI",P82=""),"Criterio Clas. 1",""),IF(AND(_xlfn.XLOOKUP($C$14,_Requeridos!$A$10:$A$20,_Requeridos!$M$10:$M$20,"")="SI",Q82=""),"Criterio Clas. 2",""),IF(AND(_xlfn.XLOOKUP($C$14,_Requeridos!$A$10:$A$20,_Requeridos!$N$10:$N$20,"")="SI",R82=""),"Criterio Clas. 3",""),IF(AND(_xlfn.XLOOKUP($C$14,_Requeridos!$A$10:$A$20,_Requeridos!$O$10:$O$20,"")="SI",S82=""),"Criterio Clas. 4",""),IF(AND(_xlfn.XLOOKUP($C$14,_Requeridos!$A$10:$A$20,_Requeridos!$P$10:$P$20,"")="SI",T82=""),"Criterio Clas. 5",""),IF(AND(_xlfn.XLOOKUP($C$14,_Requeridos!$A$10:$A$20,_Requeridos!$Q$10:$Q$20,"")="SI",U82=""),"Ubicación técnica",""),IF(AND(_xlfn.XLOOKUP($C$14,_Requeridos!$A$10:$A$20,_Requeridos!$R$10:$R$20,"")="SI",X82=""),"Centro",""),IF(AND(_xlfn.XLOOKUP($C$14,_Requeridos!$A$10:$A$20,_Requeridos!$S$10:$S$20,"")="SI",Y82=""),"Código País",""),IF(AND(_xlfn.XLOOKUP($C$14,_Requeridos!$A$10:$A$20,_Requeridos!$T$10:$T$20,"")="SI",Z82=""),"Emplazamiento",""),IF(AND(_xlfn.XLOOKUP($C$14,_Requeridos!$A$10:$A$20,_Requeridos!$U$10:$U$20,"")="SI",AB82=""),"Centro de Costo",""),IF(AND(_xlfn.XLOOKUP($C$14,_Requeridos!$A$10:$A$20,_Requeridos!$V$10:$V$20,"")="SI",AC82=""),"Número de personal",""),IF(AND(_xlfn.XLOOKUP($C$14,_Requeridos!$A$10:$A$20,_Requeridos!$W$10:$W$20,"")="SI",AH82=""),"Valor Unitario","")),"✅ Completo"))</f>
        <v/>
      </c>
      <c r="AK82" s="52"/>
    </row>
    <row r="83" spans="1:37" s="37" customFormat="1" x14ac:dyDescent="0.35">
      <c r="A83" s="31"/>
      <c r="B83" s="56">
        <v>62</v>
      </c>
      <c r="C83" s="57"/>
      <c r="D83" s="57"/>
      <c r="E83" s="57"/>
      <c r="F83" s="57"/>
      <c r="G83" s="58" t="str">
        <f>IFERROR(_xlfn.XLOOKUP(F83,Clase!$C$2:$C$292,Clase!$B$2:$B$292,""),"")</f>
        <v/>
      </c>
      <c r="H83" s="57"/>
      <c r="I83" s="59"/>
      <c r="J83" s="57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7"/>
      <c r="AC83" s="57"/>
      <c r="AD83" s="58" t="str">
        <f>IFERROR(_xlfn.XLOOKUP(AB83,Ceco!$B$2:$B$901,Ceco!$C$2:$C$901,""),"")</f>
        <v/>
      </c>
      <c r="AE83" s="57"/>
      <c r="AF83" s="57"/>
      <c r="AG83" s="60"/>
      <c r="AH83" s="57"/>
      <c r="AI83" s="61"/>
      <c r="AJ83" s="62" t="str">
        <f>IF(COUNTA(C83,D83,E83,F83,H83,I83,L83,M83,N83,P83,Q83,R83,S83,T83,U83,X83,Y83,Z83,AB83,AC83,AH83)=0,"",IF(LEN(_xlfn.TEXTJOIN(", ",TRUE,IF(AND(_xlfn.XLOOKUP($C$14,_Requeridos!$A$10:$A$20,_Requeridos!$B$10:$B$20,"")="SI",C83=""),"Orden de Inversión",""),IF(AND(_xlfn.XLOOKUP($C$14,_Requeridos!$A$10:$A$20,_Requeridos!$C$10:$C$20,"")="SI",D83=""),"Elemento PEP",""),IF(AND(_xlfn.XLOOKUP($C$14,_Requeridos!$A$10:$A$20,_Requeridos!$D$10:$D$20,"")="SI",E83=""),"Pedido",""),IF(AND(_xlfn.XLOOKUP($C$14,_Requeridos!$A$10:$A$20,_Requeridos!$E$10:$E$20,"")="SI",F83=""),"Descripción Activo SAP",""),IF(AND(_xlfn.XLOOKUP($C$14,_Requeridos!$A$10:$A$20,_Requeridos!$F$10:$F$20,"")="SI",G83=""),"Clase",""),IF(AND(_xlfn.XLOOKUP($C$14,_Requeridos!$A$10:$A$20,_Requeridos!$G$10:$G$20,"")="SI",H83=""),"Cantidad",""),IF(AND(_xlfn.XLOOKUP($C$14,_Requeridos!$A$10:$A$20,_Requeridos!$H$10:$H$20,"")="SI",I83=""),"Nombre principal AF",""),IF(AND(_xlfn.XLOOKUP($C$14,_Requeridos!$A$10:$A$20,_Requeridos!$I$10:$I$20,"")="SI",L83=""),"Fabricante",""),IF(AND(_xlfn.XLOOKUP($C$14,_Requeridos!$A$10:$A$20,_Requeridos!$J$10:$J$20,"")="SI",M83=""),"Nit Proveedor",""),IF(AND(_xlfn.XLOOKUP($C$14,_Requeridos!$A$10:$A$20,_Requeridos!$K$10:$K$20,"")="SI",N83=""),"Serie",""),IF(AND(_xlfn.XLOOKUP($C$14,_Requeridos!$A$10:$A$20,_Requeridos!$L$10:$L$20,"")="SI",P83=""),"Criterio Clas. 1",""),IF(AND(_xlfn.XLOOKUP($C$14,_Requeridos!$A$10:$A$20,_Requeridos!$M$10:$M$20,"")="SI",Q83=""),"Criterio Clas. 2",""),IF(AND(_xlfn.XLOOKUP($C$14,_Requeridos!$A$10:$A$20,_Requeridos!$N$10:$N$20,"")="SI",R83=""),"Criterio Clas. 3",""),IF(AND(_xlfn.XLOOKUP($C$14,_Requeridos!$A$10:$A$20,_Requeridos!$O$10:$O$20,"")="SI",S83=""),"Criterio Clas. 4",""),IF(AND(_xlfn.XLOOKUP($C$14,_Requeridos!$A$10:$A$20,_Requeridos!$P$10:$P$20,"")="SI",T83=""),"Criterio Clas. 5",""),IF(AND(_xlfn.XLOOKUP($C$14,_Requeridos!$A$10:$A$20,_Requeridos!$Q$10:$Q$20,"")="SI",U83=""),"Ubicación técnica",""),IF(AND(_xlfn.XLOOKUP($C$14,_Requeridos!$A$10:$A$20,_Requeridos!$R$10:$R$20,"")="SI",X83=""),"Centro",""),IF(AND(_xlfn.XLOOKUP($C$14,_Requeridos!$A$10:$A$20,_Requeridos!$S$10:$S$20,"")="SI",Y83=""),"Código País",""),IF(AND(_xlfn.XLOOKUP($C$14,_Requeridos!$A$10:$A$20,_Requeridos!$T$10:$T$20,"")="SI",Z83=""),"Emplazamiento",""),IF(AND(_xlfn.XLOOKUP($C$14,_Requeridos!$A$10:$A$20,_Requeridos!$U$10:$U$20,"")="SI",AB83=""),"Centro de Costo",""),IF(AND(_xlfn.XLOOKUP($C$14,_Requeridos!$A$10:$A$20,_Requeridos!$V$10:$V$20,"")="SI",AC83=""),"Número de personal",""),IF(AND(_xlfn.XLOOKUP($C$14,_Requeridos!$A$10:$A$20,_Requeridos!$W$10:$W$20,"")="SI",AH83=""),"Valor Unitario","")))&gt;0,"⚠️ Faltan: "&amp;_xlfn.TEXTJOIN(", ",TRUE,IF(AND(_xlfn.XLOOKUP($C$14,_Requeridos!$A$10:$A$20,_Requeridos!$B$10:$B$20,"")="SI",C83=""),"Orden de Inversión",""),IF(AND(_xlfn.XLOOKUP($C$14,_Requeridos!$A$10:$A$20,_Requeridos!$C$10:$C$20,"")="SI",D83=""),"Elemento PEP",""),IF(AND(_xlfn.XLOOKUP($C$14,_Requeridos!$A$10:$A$20,_Requeridos!$D$10:$D$20,"")="SI",E83=""),"Pedido",""),IF(AND(_xlfn.XLOOKUP($C$14,_Requeridos!$A$10:$A$20,_Requeridos!$E$10:$E$20,"")="SI",F83=""),"Descripción Activo SAP",""),IF(AND(_xlfn.XLOOKUP($C$14,_Requeridos!$A$10:$A$20,_Requeridos!$F$10:$F$20,"")="SI",G83=""),"Clase",""),IF(AND(_xlfn.XLOOKUP($C$14,_Requeridos!$A$10:$A$20,_Requeridos!$G$10:$G$20,"")="SI",H83=""),"Cantidad",""),IF(AND(_xlfn.XLOOKUP($C$14,_Requeridos!$A$10:$A$20,_Requeridos!$H$10:$H$20,"")="SI",I83=""),"Nombre principal AF",""),IF(AND(_xlfn.XLOOKUP($C$14,_Requeridos!$A$10:$A$20,_Requeridos!$I$10:$I$20,"")="SI",L83=""),"Fabricante",""),IF(AND(_xlfn.XLOOKUP($C$14,_Requeridos!$A$10:$A$20,_Requeridos!$J$10:$J$20,"")="SI",M83=""),"Nit Proveedor",""),IF(AND(_xlfn.XLOOKUP($C$14,_Requeridos!$A$10:$A$20,_Requeridos!$K$10:$K$20,"")="SI",N83=""),"Serie",""),IF(AND(_xlfn.XLOOKUP($C$14,_Requeridos!$A$10:$A$20,_Requeridos!$L$10:$L$20,"")="SI",P83=""),"Criterio Clas. 1",""),IF(AND(_xlfn.XLOOKUP($C$14,_Requeridos!$A$10:$A$20,_Requeridos!$M$10:$M$20,"")="SI",Q83=""),"Criterio Clas. 2",""),IF(AND(_xlfn.XLOOKUP($C$14,_Requeridos!$A$10:$A$20,_Requeridos!$N$10:$N$20,"")="SI",R83=""),"Criterio Clas. 3",""),IF(AND(_xlfn.XLOOKUP($C$14,_Requeridos!$A$10:$A$20,_Requeridos!$O$10:$O$20,"")="SI",S83=""),"Criterio Clas. 4",""),IF(AND(_xlfn.XLOOKUP($C$14,_Requeridos!$A$10:$A$20,_Requeridos!$P$10:$P$20,"")="SI",T83=""),"Criterio Clas. 5",""),IF(AND(_xlfn.XLOOKUP($C$14,_Requeridos!$A$10:$A$20,_Requeridos!$Q$10:$Q$20,"")="SI",U83=""),"Ubicación técnica",""),IF(AND(_xlfn.XLOOKUP($C$14,_Requeridos!$A$10:$A$20,_Requeridos!$R$10:$R$20,"")="SI",X83=""),"Centro",""),IF(AND(_xlfn.XLOOKUP($C$14,_Requeridos!$A$10:$A$20,_Requeridos!$S$10:$S$20,"")="SI",Y83=""),"Código País",""),IF(AND(_xlfn.XLOOKUP($C$14,_Requeridos!$A$10:$A$20,_Requeridos!$T$10:$T$20,"")="SI",Z83=""),"Emplazamiento",""),IF(AND(_xlfn.XLOOKUP($C$14,_Requeridos!$A$10:$A$20,_Requeridos!$U$10:$U$20,"")="SI",AB83=""),"Centro de Costo",""),IF(AND(_xlfn.XLOOKUP($C$14,_Requeridos!$A$10:$A$20,_Requeridos!$V$10:$V$20,"")="SI",AC83=""),"Número de personal",""),IF(AND(_xlfn.XLOOKUP($C$14,_Requeridos!$A$10:$A$20,_Requeridos!$W$10:$W$20,"")="SI",AH83=""),"Valor Unitario","")),"✅ Completo"))</f>
        <v/>
      </c>
      <c r="AK83" s="52"/>
    </row>
    <row r="84" spans="1:37" s="37" customFormat="1" x14ac:dyDescent="0.35">
      <c r="A84" s="31"/>
      <c r="B84" s="56">
        <v>63</v>
      </c>
      <c r="C84" s="57"/>
      <c r="D84" s="57"/>
      <c r="E84" s="57"/>
      <c r="F84" s="57"/>
      <c r="G84" s="58" t="str">
        <f>IFERROR(_xlfn.XLOOKUP(F84,Clase!$C$2:$C$292,Clase!$B$2:$B$292,""),"")</f>
        <v/>
      </c>
      <c r="H84" s="57"/>
      <c r="I84" s="59"/>
      <c r="J84" s="57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7"/>
      <c r="AC84" s="57"/>
      <c r="AD84" s="58" t="str">
        <f>IFERROR(_xlfn.XLOOKUP(AB84,Ceco!$B$2:$B$901,Ceco!$C$2:$C$901,""),"")</f>
        <v/>
      </c>
      <c r="AE84" s="57"/>
      <c r="AF84" s="57"/>
      <c r="AG84" s="60"/>
      <c r="AH84" s="57"/>
      <c r="AI84" s="61"/>
      <c r="AJ84" s="62" t="str">
        <f>IF(COUNTA(C84,D84,E84,F84,H84,I84,L84,M84,N84,P84,Q84,R84,S84,T84,U84,X84,Y84,Z84,AB84,AC84,AH84)=0,"",IF(LEN(_xlfn.TEXTJOIN(", ",TRUE,IF(AND(_xlfn.XLOOKUP($C$14,_Requeridos!$A$10:$A$20,_Requeridos!$B$10:$B$20,"")="SI",C84=""),"Orden de Inversión",""),IF(AND(_xlfn.XLOOKUP($C$14,_Requeridos!$A$10:$A$20,_Requeridos!$C$10:$C$20,"")="SI",D84=""),"Elemento PEP",""),IF(AND(_xlfn.XLOOKUP($C$14,_Requeridos!$A$10:$A$20,_Requeridos!$D$10:$D$20,"")="SI",E84=""),"Pedido",""),IF(AND(_xlfn.XLOOKUP($C$14,_Requeridos!$A$10:$A$20,_Requeridos!$E$10:$E$20,"")="SI",F84=""),"Descripción Activo SAP",""),IF(AND(_xlfn.XLOOKUP($C$14,_Requeridos!$A$10:$A$20,_Requeridos!$F$10:$F$20,"")="SI",G84=""),"Clase",""),IF(AND(_xlfn.XLOOKUP($C$14,_Requeridos!$A$10:$A$20,_Requeridos!$G$10:$G$20,"")="SI",H84=""),"Cantidad",""),IF(AND(_xlfn.XLOOKUP($C$14,_Requeridos!$A$10:$A$20,_Requeridos!$H$10:$H$20,"")="SI",I84=""),"Nombre principal AF",""),IF(AND(_xlfn.XLOOKUP($C$14,_Requeridos!$A$10:$A$20,_Requeridos!$I$10:$I$20,"")="SI",L84=""),"Fabricante",""),IF(AND(_xlfn.XLOOKUP($C$14,_Requeridos!$A$10:$A$20,_Requeridos!$J$10:$J$20,"")="SI",M84=""),"Nit Proveedor",""),IF(AND(_xlfn.XLOOKUP($C$14,_Requeridos!$A$10:$A$20,_Requeridos!$K$10:$K$20,"")="SI",N84=""),"Serie",""),IF(AND(_xlfn.XLOOKUP($C$14,_Requeridos!$A$10:$A$20,_Requeridos!$L$10:$L$20,"")="SI",P84=""),"Criterio Clas. 1",""),IF(AND(_xlfn.XLOOKUP($C$14,_Requeridos!$A$10:$A$20,_Requeridos!$M$10:$M$20,"")="SI",Q84=""),"Criterio Clas. 2",""),IF(AND(_xlfn.XLOOKUP($C$14,_Requeridos!$A$10:$A$20,_Requeridos!$N$10:$N$20,"")="SI",R84=""),"Criterio Clas. 3",""),IF(AND(_xlfn.XLOOKUP($C$14,_Requeridos!$A$10:$A$20,_Requeridos!$O$10:$O$20,"")="SI",S84=""),"Criterio Clas. 4",""),IF(AND(_xlfn.XLOOKUP($C$14,_Requeridos!$A$10:$A$20,_Requeridos!$P$10:$P$20,"")="SI",T84=""),"Criterio Clas. 5",""),IF(AND(_xlfn.XLOOKUP($C$14,_Requeridos!$A$10:$A$20,_Requeridos!$Q$10:$Q$20,"")="SI",U84=""),"Ubicación técnica",""),IF(AND(_xlfn.XLOOKUP($C$14,_Requeridos!$A$10:$A$20,_Requeridos!$R$10:$R$20,"")="SI",X84=""),"Centro",""),IF(AND(_xlfn.XLOOKUP($C$14,_Requeridos!$A$10:$A$20,_Requeridos!$S$10:$S$20,"")="SI",Y84=""),"Código País",""),IF(AND(_xlfn.XLOOKUP($C$14,_Requeridos!$A$10:$A$20,_Requeridos!$T$10:$T$20,"")="SI",Z84=""),"Emplazamiento",""),IF(AND(_xlfn.XLOOKUP($C$14,_Requeridos!$A$10:$A$20,_Requeridos!$U$10:$U$20,"")="SI",AB84=""),"Centro de Costo",""),IF(AND(_xlfn.XLOOKUP($C$14,_Requeridos!$A$10:$A$20,_Requeridos!$V$10:$V$20,"")="SI",AC84=""),"Número de personal",""),IF(AND(_xlfn.XLOOKUP($C$14,_Requeridos!$A$10:$A$20,_Requeridos!$W$10:$W$20,"")="SI",AH84=""),"Valor Unitario","")))&gt;0,"⚠️ Faltan: "&amp;_xlfn.TEXTJOIN(", ",TRUE,IF(AND(_xlfn.XLOOKUP($C$14,_Requeridos!$A$10:$A$20,_Requeridos!$B$10:$B$20,"")="SI",C84=""),"Orden de Inversión",""),IF(AND(_xlfn.XLOOKUP($C$14,_Requeridos!$A$10:$A$20,_Requeridos!$C$10:$C$20,"")="SI",D84=""),"Elemento PEP",""),IF(AND(_xlfn.XLOOKUP($C$14,_Requeridos!$A$10:$A$20,_Requeridos!$D$10:$D$20,"")="SI",E84=""),"Pedido",""),IF(AND(_xlfn.XLOOKUP($C$14,_Requeridos!$A$10:$A$20,_Requeridos!$E$10:$E$20,"")="SI",F84=""),"Descripción Activo SAP",""),IF(AND(_xlfn.XLOOKUP($C$14,_Requeridos!$A$10:$A$20,_Requeridos!$F$10:$F$20,"")="SI",G84=""),"Clase",""),IF(AND(_xlfn.XLOOKUP($C$14,_Requeridos!$A$10:$A$20,_Requeridos!$G$10:$G$20,"")="SI",H84=""),"Cantidad",""),IF(AND(_xlfn.XLOOKUP($C$14,_Requeridos!$A$10:$A$20,_Requeridos!$H$10:$H$20,"")="SI",I84=""),"Nombre principal AF",""),IF(AND(_xlfn.XLOOKUP($C$14,_Requeridos!$A$10:$A$20,_Requeridos!$I$10:$I$20,"")="SI",L84=""),"Fabricante",""),IF(AND(_xlfn.XLOOKUP($C$14,_Requeridos!$A$10:$A$20,_Requeridos!$J$10:$J$20,"")="SI",M84=""),"Nit Proveedor",""),IF(AND(_xlfn.XLOOKUP($C$14,_Requeridos!$A$10:$A$20,_Requeridos!$K$10:$K$20,"")="SI",N84=""),"Serie",""),IF(AND(_xlfn.XLOOKUP($C$14,_Requeridos!$A$10:$A$20,_Requeridos!$L$10:$L$20,"")="SI",P84=""),"Criterio Clas. 1",""),IF(AND(_xlfn.XLOOKUP($C$14,_Requeridos!$A$10:$A$20,_Requeridos!$M$10:$M$20,"")="SI",Q84=""),"Criterio Clas. 2",""),IF(AND(_xlfn.XLOOKUP($C$14,_Requeridos!$A$10:$A$20,_Requeridos!$N$10:$N$20,"")="SI",R84=""),"Criterio Clas. 3",""),IF(AND(_xlfn.XLOOKUP($C$14,_Requeridos!$A$10:$A$20,_Requeridos!$O$10:$O$20,"")="SI",S84=""),"Criterio Clas. 4",""),IF(AND(_xlfn.XLOOKUP($C$14,_Requeridos!$A$10:$A$20,_Requeridos!$P$10:$P$20,"")="SI",T84=""),"Criterio Clas. 5",""),IF(AND(_xlfn.XLOOKUP($C$14,_Requeridos!$A$10:$A$20,_Requeridos!$Q$10:$Q$20,"")="SI",U84=""),"Ubicación técnica",""),IF(AND(_xlfn.XLOOKUP($C$14,_Requeridos!$A$10:$A$20,_Requeridos!$R$10:$R$20,"")="SI",X84=""),"Centro",""),IF(AND(_xlfn.XLOOKUP($C$14,_Requeridos!$A$10:$A$20,_Requeridos!$S$10:$S$20,"")="SI",Y84=""),"Código País",""),IF(AND(_xlfn.XLOOKUP($C$14,_Requeridos!$A$10:$A$20,_Requeridos!$T$10:$T$20,"")="SI",Z84=""),"Emplazamiento",""),IF(AND(_xlfn.XLOOKUP($C$14,_Requeridos!$A$10:$A$20,_Requeridos!$U$10:$U$20,"")="SI",AB84=""),"Centro de Costo",""),IF(AND(_xlfn.XLOOKUP($C$14,_Requeridos!$A$10:$A$20,_Requeridos!$V$10:$V$20,"")="SI",AC84=""),"Número de personal",""),IF(AND(_xlfn.XLOOKUP($C$14,_Requeridos!$A$10:$A$20,_Requeridos!$W$10:$W$20,"")="SI",AH84=""),"Valor Unitario","")),"✅ Completo"))</f>
        <v/>
      </c>
      <c r="AK84" s="52"/>
    </row>
    <row r="85" spans="1:37" s="37" customFormat="1" x14ac:dyDescent="0.35">
      <c r="A85" s="31"/>
      <c r="B85" s="56">
        <v>64</v>
      </c>
      <c r="C85" s="57"/>
      <c r="D85" s="57"/>
      <c r="E85" s="57"/>
      <c r="F85" s="57"/>
      <c r="G85" s="58" t="str">
        <f>IFERROR(_xlfn.XLOOKUP(F85,Clase!$C$2:$C$292,Clase!$B$2:$B$292,""),"")</f>
        <v/>
      </c>
      <c r="H85" s="57"/>
      <c r="I85" s="59"/>
      <c r="J85" s="57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  <c r="AA85" s="59"/>
      <c r="AB85" s="57"/>
      <c r="AC85" s="57"/>
      <c r="AD85" s="58" t="str">
        <f>IFERROR(_xlfn.XLOOKUP(AB85,Ceco!$B$2:$B$901,Ceco!$C$2:$C$901,""),"")</f>
        <v/>
      </c>
      <c r="AE85" s="57"/>
      <c r="AF85" s="57"/>
      <c r="AG85" s="60"/>
      <c r="AH85" s="57"/>
      <c r="AI85" s="61"/>
      <c r="AJ85" s="62" t="str">
        <f>IF(COUNTA(C85,D85,E85,F85,H85,I85,L85,M85,N85,P85,Q85,R85,S85,T85,U85,X85,Y85,Z85,AB85,AC85,AH85)=0,"",IF(LEN(_xlfn.TEXTJOIN(", ",TRUE,IF(AND(_xlfn.XLOOKUP($C$14,_Requeridos!$A$10:$A$20,_Requeridos!$B$10:$B$20,"")="SI",C85=""),"Orden de Inversión",""),IF(AND(_xlfn.XLOOKUP($C$14,_Requeridos!$A$10:$A$20,_Requeridos!$C$10:$C$20,"")="SI",D85=""),"Elemento PEP",""),IF(AND(_xlfn.XLOOKUP($C$14,_Requeridos!$A$10:$A$20,_Requeridos!$D$10:$D$20,"")="SI",E85=""),"Pedido",""),IF(AND(_xlfn.XLOOKUP($C$14,_Requeridos!$A$10:$A$20,_Requeridos!$E$10:$E$20,"")="SI",F85=""),"Descripción Activo SAP",""),IF(AND(_xlfn.XLOOKUP($C$14,_Requeridos!$A$10:$A$20,_Requeridos!$F$10:$F$20,"")="SI",G85=""),"Clase",""),IF(AND(_xlfn.XLOOKUP($C$14,_Requeridos!$A$10:$A$20,_Requeridos!$G$10:$G$20,"")="SI",H85=""),"Cantidad",""),IF(AND(_xlfn.XLOOKUP($C$14,_Requeridos!$A$10:$A$20,_Requeridos!$H$10:$H$20,"")="SI",I85=""),"Nombre principal AF",""),IF(AND(_xlfn.XLOOKUP($C$14,_Requeridos!$A$10:$A$20,_Requeridos!$I$10:$I$20,"")="SI",L85=""),"Fabricante",""),IF(AND(_xlfn.XLOOKUP($C$14,_Requeridos!$A$10:$A$20,_Requeridos!$J$10:$J$20,"")="SI",M85=""),"Nit Proveedor",""),IF(AND(_xlfn.XLOOKUP($C$14,_Requeridos!$A$10:$A$20,_Requeridos!$K$10:$K$20,"")="SI",N85=""),"Serie",""),IF(AND(_xlfn.XLOOKUP($C$14,_Requeridos!$A$10:$A$20,_Requeridos!$L$10:$L$20,"")="SI",P85=""),"Criterio Clas. 1",""),IF(AND(_xlfn.XLOOKUP($C$14,_Requeridos!$A$10:$A$20,_Requeridos!$M$10:$M$20,"")="SI",Q85=""),"Criterio Clas. 2",""),IF(AND(_xlfn.XLOOKUP($C$14,_Requeridos!$A$10:$A$20,_Requeridos!$N$10:$N$20,"")="SI",R85=""),"Criterio Clas. 3",""),IF(AND(_xlfn.XLOOKUP($C$14,_Requeridos!$A$10:$A$20,_Requeridos!$O$10:$O$20,"")="SI",S85=""),"Criterio Clas. 4",""),IF(AND(_xlfn.XLOOKUP($C$14,_Requeridos!$A$10:$A$20,_Requeridos!$P$10:$P$20,"")="SI",T85=""),"Criterio Clas. 5",""),IF(AND(_xlfn.XLOOKUP($C$14,_Requeridos!$A$10:$A$20,_Requeridos!$Q$10:$Q$20,"")="SI",U85=""),"Ubicación técnica",""),IF(AND(_xlfn.XLOOKUP($C$14,_Requeridos!$A$10:$A$20,_Requeridos!$R$10:$R$20,"")="SI",X85=""),"Centro",""),IF(AND(_xlfn.XLOOKUP($C$14,_Requeridos!$A$10:$A$20,_Requeridos!$S$10:$S$20,"")="SI",Y85=""),"Código País",""),IF(AND(_xlfn.XLOOKUP($C$14,_Requeridos!$A$10:$A$20,_Requeridos!$T$10:$T$20,"")="SI",Z85=""),"Emplazamiento",""),IF(AND(_xlfn.XLOOKUP($C$14,_Requeridos!$A$10:$A$20,_Requeridos!$U$10:$U$20,"")="SI",AB85=""),"Centro de Costo",""),IF(AND(_xlfn.XLOOKUP($C$14,_Requeridos!$A$10:$A$20,_Requeridos!$V$10:$V$20,"")="SI",AC85=""),"Número de personal",""),IF(AND(_xlfn.XLOOKUP($C$14,_Requeridos!$A$10:$A$20,_Requeridos!$W$10:$W$20,"")="SI",AH85=""),"Valor Unitario","")))&gt;0,"⚠️ Faltan: "&amp;_xlfn.TEXTJOIN(", ",TRUE,IF(AND(_xlfn.XLOOKUP($C$14,_Requeridos!$A$10:$A$20,_Requeridos!$B$10:$B$20,"")="SI",C85=""),"Orden de Inversión",""),IF(AND(_xlfn.XLOOKUP($C$14,_Requeridos!$A$10:$A$20,_Requeridos!$C$10:$C$20,"")="SI",D85=""),"Elemento PEP",""),IF(AND(_xlfn.XLOOKUP($C$14,_Requeridos!$A$10:$A$20,_Requeridos!$D$10:$D$20,"")="SI",E85=""),"Pedido",""),IF(AND(_xlfn.XLOOKUP($C$14,_Requeridos!$A$10:$A$20,_Requeridos!$E$10:$E$20,"")="SI",F85=""),"Descripción Activo SAP",""),IF(AND(_xlfn.XLOOKUP($C$14,_Requeridos!$A$10:$A$20,_Requeridos!$F$10:$F$20,"")="SI",G85=""),"Clase",""),IF(AND(_xlfn.XLOOKUP($C$14,_Requeridos!$A$10:$A$20,_Requeridos!$G$10:$G$20,"")="SI",H85=""),"Cantidad",""),IF(AND(_xlfn.XLOOKUP($C$14,_Requeridos!$A$10:$A$20,_Requeridos!$H$10:$H$20,"")="SI",I85=""),"Nombre principal AF",""),IF(AND(_xlfn.XLOOKUP($C$14,_Requeridos!$A$10:$A$20,_Requeridos!$I$10:$I$20,"")="SI",L85=""),"Fabricante",""),IF(AND(_xlfn.XLOOKUP($C$14,_Requeridos!$A$10:$A$20,_Requeridos!$J$10:$J$20,"")="SI",M85=""),"Nit Proveedor",""),IF(AND(_xlfn.XLOOKUP($C$14,_Requeridos!$A$10:$A$20,_Requeridos!$K$10:$K$20,"")="SI",N85=""),"Serie",""),IF(AND(_xlfn.XLOOKUP($C$14,_Requeridos!$A$10:$A$20,_Requeridos!$L$10:$L$20,"")="SI",P85=""),"Criterio Clas. 1",""),IF(AND(_xlfn.XLOOKUP($C$14,_Requeridos!$A$10:$A$20,_Requeridos!$M$10:$M$20,"")="SI",Q85=""),"Criterio Clas. 2",""),IF(AND(_xlfn.XLOOKUP($C$14,_Requeridos!$A$10:$A$20,_Requeridos!$N$10:$N$20,"")="SI",R85=""),"Criterio Clas. 3",""),IF(AND(_xlfn.XLOOKUP($C$14,_Requeridos!$A$10:$A$20,_Requeridos!$O$10:$O$20,"")="SI",S85=""),"Criterio Clas. 4",""),IF(AND(_xlfn.XLOOKUP($C$14,_Requeridos!$A$10:$A$20,_Requeridos!$P$10:$P$20,"")="SI",T85=""),"Criterio Clas. 5",""),IF(AND(_xlfn.XLOOKUP($C$14,_Requeridos!$A$10:$A$20,_Requeridos!$Q$10:$Q$20,"")="SI",U85=""),"Ubicación técnica",""),IF(AND(_xlfn.XLOOKUP($C$14,_Requeridos!$A$10:$A$20,_Requeridos!$R$10:$R$20,"")="SI",X85=""),"Centro",""),IF(AND(_xlfn.XLOOKUP($C$14,_Requeridos!$A$10:$A$20,_Requeridos!$S$10:$S$20,"")="SI",Y85=""),"Código País",""),IF(AND(_xlfn.XLOOKUP($C$14,_Requeridos!$A$10:$A$20,_Requeridos!$T$10:$T$20,"")="SI",Z85=""),"Emplazamiento",""),IF(AND(_xlfn.XLOOKUP($C$14,_Requeridos!$A$10:$A$20,_Requeridos!$U$10:$U$20,"")="SI",AB85=""),"Centro de Costo",""),IF(AND(_xlfn.XLOOKUP($C$14,_Requeridos!$A$10:$A$20,_Requeridos!$V$10:$V$20,"")="SI",AC85=""),"Número de personal",""),IF(AND(_xlfn.XLOOKUP($C$14,_Requeridos!$A$10:$A$20,_Requeridos!$W$10:$W$20,"")="SI",AH85=""),"Valor Unitario","")),"✅ Completo"))</f>
        <v/>
      </c>
      <c r="AK85" s="52"/>
    </row>
    <row r="86" spans="1:37" s="37" customFormat="1" x14ac:dyDescent="0.35">
      <c r="A86" s="31"/>
      <c r="B86" s="56">
        <v>65</v>
      </c>
      <c r="C86" s="57"/>
      <c r="D86" s="57"/>
      <c r="E86" s="57"/>
      <c r="F86" s="57"/>
      <c r="G86" s="58" t="str">
        <f>IFERROR(_xlfn.XLOOKUP(F86,Clase!$C$2:$C$292,Clase!$B$2:$B$292,""),"")</f>
        <v/>
      </c>
      <c r="H86" s="57"/>
      <c r="I86" s="59"/>
      <c r="J86" s="57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7"/>
      <c r="AC86" s="57"/>
      <c r="AD86" s="58" t="str">
        <f>IFERROR(_xlfn.XLOOKUP(AB86,Ceco!$B$2:$B$901,Ceco!$C$2:$C$901,""),"")</f>
        <v/>
      </c>
      <c r="AE86" s="57"/>
      <c r="AF86" s="57"/>
      <c r="AG86" s="60"/>
      <c r="AH86" s="57"/>
      <c r="AI86" s="61"/>
      <c r="AJ86" s="62" t="str">
        <f>IF(COUNTA(C86,D86,E86,F86,H86,I86,L86,M86,N86,P86,Q86,R86,S86,T86,U86,X86,Y86,Z86,AB86,AC86,AH86)=0,"",IF(LEN(_xlfn.TEXTJOIN(", ",TRUE,IF(AND(_xlfn.XLOOKUP($C$14,_Requeridos!$A$10:$A$20,_Requeridos!$B$10:$B$20,"")="SI",C86=""),"Orden de Inversión",""),IF(AND(_xlfn.XLOOKUP($C$14,_Requeridos!$A$10:$A$20,_Requeridos!$C$10:$C$20,"")="SI",D86=""),"Elemento PEP",""),IF(AND(_xlfn.XLOOKUP($C$14,_Requeridos!$A$10:$A$20,_Requeridos!$D$10:$D$20,"")="SI",E86=""),"Pedido",""),IF(AND(_xlfn.XLOOKUP($C$14,_Requeridos!$A$10:$A$20,_Requeridos!$E$10:$E$20,"")="SI",F86=""),"Descripción Activo SAP",""),IF(AND(_xlfn.XLOOKUP($C$14,_Requeridos!$A$10:$A$20,_Requeridos!$F$10:$F$20,"")="SI",G86=""),"Clase",""),IF(AND(_xlfn.XLOOKUP($C$14,_Requeridos!$A$10:$A$20,_Requeridos!$G$10:$G$20,"")="SI",H86=""),"Cantidad",""),IF(AND(_xlfn.XLOOKUP($C$14,_Requeridos!$A$10:$A$20,_Requeridos!$H$10:$H$20,"")="SI",I86=""),"Nombre principal AF",""),IF(AND(_xlfn.XLOOKUP($C$14,_Requeridos!$A$10:$A$20,_Requeridos!$I$10:$I$20,"")="SI",L86=""),"Fabricante",""),IF(AND(_xlfn.XLOOKUP($C$14,_Requeridos!$A$10:$A$20,_Requeridos!$J$10:$J$20,"")="SI",M86=""),"Nit Proveedor",""),IF(AND(_xlfn.XLOOKUP($C$14,_Requeridos!$A$10:$A$20,_Requeridos!$K$10:$K$20,"")="SI",N86=""),"Serie",""),IF(AND(_xlfn.XLOOKUP($C$14,_Requeridos!$A$10:$A$20,_Requeridos!$L$10:$L$20,"")="SI",P86=""),"Criterio Clas. 1",""),IF(AND(_xlfn.XLOOKUP($C$14,_Requeridos!$A$10:$A$20,_Requeridos!$M$10:$M$20,"")="SI",Q86=""),"Criterio Clas. 2",""),IF(AND(_xlfn.XLOOKUP($C$14,_Requeridos!$A$10:$A$20,_Requeridos!$N$10:$N$20,"")="SI",R86=""),"Criterio Clas. 3",""),IF(AND(_xlfn.XLOOKUP($C$14,_Requeridos!$A$10:$A$20,_Requeridos!$O$10:$O$20,"")="SI",S86=""),"Criterio Clas. 4",""),IF(AND(_xlfn.XLOOKUP($C$14,_Requeridos!$A$10:$A$20,_Requeridos!$P$10:$P$20,"")="SI",T86=""),"Criterio Clas. 5",""),IF(AND(_xlfn.XLOOKUP($C$14,_Requeridos!$A$10:$A$20,_Requeridos!$Q$10:$Q$20,"")="SI",U86=""),"Ubicación técnica",""),IF(AND(_xlfn.XLOOKUP($C$14,_Requeridos!$A$10:$A$20,_Requeridos!$R$10:$R$20,"")="SI",X86=""),"Centro",""),IF(AND(_xlfn.XLOOKUP($C$14,_Requeridos!$A$10:$A$20,_Requeridos!$S$10:$S$20,"")="SI",Y86=""),"Código País",""),IF(AND(_xlfn.XLOOKUP($C$14,_Requeridos!$A$10:$A$20,_Requeridos!$T$10:$T$20,"")="SI",Z86=""),"Emplazamiento",""),IF(AND(_xlfn.XLOOKUP($C$14,_Requeridos!$A$10:$A$20,_Requeridos!$U$10:$U$20,"")="SI",AB86=""),"Centro de Costo",""),IF(AND(_xlfn.XLOOKUP($C$14,_Requeridos!$A$10:$A$20,_Requeridos!$V$10:$V$20,"")="SI",AC86=""),"Número de personal",""),IF(AND(_xlfn.XLOOKUP($C$14,_Requeridos!$A$10:$A$20,_Requeridos!$W$10:$W$20,"")="SI",AH86=""),"Valor Unitario","")))&gt;0,"⚠️ Faltan: "&amp;_xlfn.TEXTJOIN(", ",TRUE,IF(AND(_xlfn.XLOOKUP($C$14,_Requeridos!$A$10:$A$20,_Requeridos!$B$10:$B$20,"")="SI",C86=""),"Orden de Inversión",""),IF(AND(_xlfn.XLOOKUP($C$14,_Requeridos!$A$10:$A$20,_Requeridos!$C$10:$C$20,"")="SI",D86=""),"Elemento PEP",""),IF(AND(_xlfn.XLOOKUP($C$14,_Requeridos!$A$10:$A$20,_Requeridos!$D$10:$D$20,"")="SI",E86=""),"Pedido",""),IF(AND(_xlfn.XLOOKUP($C$14,_Requeridos!$A$10:$A$20,_Requeridos!$E$10:$E$20,"")="SI",F86=""),"Descripción Activo SAP",""),IF(AND(_xlfn.XLOOKUP($C$14,_Requeridos!$A$10:$A$20,_Requeridos!$F$10:$F$20,"")="SI",G86=""),"Clase",""),IF(AND(_xlfn.XLOOKUP($C$14,_Requeridos!$A$10:$A$20,_Requeridos!$G$10:$G$20,"")="SI",H86=""),"Cantidad",""),IF(AND(_xlfn.XLOOKUP($C$14,_Requeridos!$A$10:$A$20,_Requeridos!$H$10:$H$20,"")="SI",I86=""),"Nombre principal AF",""),IF(AND(_xlfn.XLOOKUP($C$14,_Requeridos!$A$10:$A$20,_Requeridos!$I$10:$I$20,"")="SI",L86=""),"Fabricante",""),IF(AND(_xlfn.XLOOKUP($C$14,_Requeridos!$A$10:$A$20,_Requeridos!$J$10:$J$20,"")="SI",M86=""),"Nit Proveedor",""),IF(AND(_xlfn.XLOOKUP($C$14,_Requeridos!$A$10:$A$20,_Requeridos!$K$10:$K$20,"")="SI",N86=""),"Serie",""),IF(AND(_xlfn.XLOOKUP($C$14,_Requeridos!$A$10:$A$20,_Requeridos!$L$10:$L$20,"")="SI",P86=""),"Criterio Clas. 1",""),IF(AND(_xlfn.XLOOKUP($C$14,_Requeridos!$A$10:$A$20,_Requeridos!$M$10:$M$20,"")="SI",Q86=""),"Criterio Clas. 2",""),IF(AND(_xlfn.XLOOKUP($C$14,_Requeridos!$A$10:$A$20,_Requeridos!$N$10:$N$20,"")="SI",R86=""),"Criterio Clas. 3",""),IF(AND(_xlfn.XLOOKUP($C$14,_Requeridos!$A$10:$A$20,_Requeridos!$O$10:$O$20,"")="SI",S86=""),"Criterio Clas. 4",""),IF(AND(_xlfn.XLOOKUP($C$14,_Requeridos!$A$10:$A$20,_Requeridos!$P$10:$P$20,"")="SI",T86=""),"Criterio Clas. 5",""),IF(AND(_xlfn.XLOOKUP($C$14,_Requeridos!$A$10:$A$20,_Requeridos!$Q$10:$Q$20,"")="SI",U86=""),"Ubicación técnica",""),IF(AND(_xlfn.XLOOKUP($C$14,_Requeridos!$A$10:$A$20,_Requeridos!$R$10:$R$20,"")="SI",X86=""),"Centro",""),IF(AND(_xlfn.XLOOKUP($C$14,_Requeridos!$A$10:$A$20,_Requeridos!$S$10:$S$20,"")="SI",Y86=""),"Código País",""),IF(AND(_xlfn.XLOOKUP($C$14,_Requeridos!$A$10:$A$20,_Requeridos!$T$10:$T$20,"")="SI",Z86=""),"Emplazamiento",""),IF(AND(_xlfn.XLOOKUP($C$14,_Requeridos!$A$10:$A$20,_Requeridos!$U$10:$U$20,"")="SI",AB86=""),"Centro de Costo",""),IF(AND(_xlfn.XLOOKUP($C$14,_Requeridos!$A$10:$A$20,_Requeridos!$V$10:$V$20,"")="SI",AC86=""),"Número de personal",""),IF(AND(_xlfn.XLOOKUP($C$14,_Requeridos!$A$10:$A$20,_Requeridos!$W$10:$W$20,"")="SI",AH86=""),"Valor Unitario","")),"✅ Completo"))</f>
        <v/>
      </c>
      <c r="AK86" s="52"/>
    </row>
    <row r="87" spans="1:37" s="37" customFormat="1" x14ac:dyDescent="0.35">
      <c r="A87" s="31"/>
      <c r="B87" s="56">
        <v>66</v>
      </c>
      <c r="C87" s="57"/>
      <c r="D87" s="57"/>
      <c r="E87" s="57"/>
      <c r="F87" s="57"/>
      <c r="G87" s="58" t="str">
        <f>IFERROR(_xlfn.XLOOKUP(F87,Clase!$C$2:$C$292,Clase!$B$2:$B$292,""),"")</f>
        <v/>
      </c>
      <c r="H87" s="57"/>
      <c r="I87" s="59"/>
      <c r="J87" s="57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7"/>
      <c r="AC87" s="57"/>
      <c r="AD87" s="58" t="str">
        <f>IFERROR(_xlfn.XLOOKUP(AB87,Ceco!$B$2:$B$901,Ceco!$C$2:$C$901,""),"")</f>
        <v/>
      </c>
      <c r="AE87" s="57"/>
      <c r="AF87" s="57"/>
      <c r="AG87" s="60"/>
      <c r="AH87" s="57"/>
      <c r="AI87" s="61"/>
      <c r="AJ87" s="62" t="str">
        <f>IF(COUNTA(C87,D87,E87,F87,H87,I87,L87,M87,N87,P87,Q87,R87,S87,T87,U87,X87,Y87,Z87,AB87,AC87,AH87)=0,"",IF(LEN(_xlfn.TEXTJOIN(", ",TRUE,IF(AND(_xlfn.XLOOKUP($C$14,_Requeridos!$A$10:$A$20,_Requeridos!$B$10:$B$20,"")="SI",C87=""),"Orden de Inversión",""),IF(AND(_xlfn.XLOOKUP($C$14,_Requeridos!$A$10:$A$20,_Requeridos!$C$10:$C$20,"")="SI",D87=""),"Elemento PEP",""),IF(AND(_xlfn.XLOOKUP($C$14,_Requeridos!$A$10:$A$20,_Requeridos!$D$10:$D$20,"")="SI",E87=""),"Pedido",""),IF(AND(_xlfn.XLOOKUP($C$14,_Requeridos!$A$10:$A$20,_Requeridos!$E$10:$E$20,"")="SI",F87=""),"Descripción Activo SAP",""),IF(AND(_xlfn.XLOOKUP($C$14,_Requeridos!$A$10:$A$20,_Requeridos!$F$10:$F$20,"")="SI",G87=""),"Clase",""),IF(AND(_xlfn.XLOOKUP($C$14,_Requeridos!$A$10:$A$20,_Requeridos!$G$10:$G$20,"")="SI",H87=""),"Cantidad",""),IF(AND(_xlfn.XLOOKUP($C$14,_Requeridos!$A$10:$A$20,_Requeridos!$H$10:$H$20,"")="SI",I87=""),"Nombre principal AF",""),IF(AND(_xlfn.XLOOKUP($C$14,_Requeridos!$A$10:$A$20,_Requeridos!$I$10:$I$20,"")="SI",L87=""),"Fabricante",""),IF(AND(_xlfn.XLOOKUP($C$14,_Requeridos!$A$10:$A$20,_Requeridos!$J$10:$J$20,"")="SI",M87=""),"Nit Proveedor",""),IF(AND(_xlfn.XLOOKUP($C$14,_Requeridos!$A$10:$A$20,_Requeridos!$K$10:$K$20,"")="SI",N87=""),"Serie",""),IF(AND(_xlfn.XLOOKUP($C$14,_Requeridos!$A$10:$A$20,_Requeridos!$L$10:$L$20,"")="SI",P87=""),"Criterio Clas. 1",""),IF(AND(_xlfn.XLOOKUP($C$14,_Requeridos!$A$10:$A$20,_Requeridos!$M$10:$M$20,"")="SI",Q87=""),"Criterio Clas. 2",""),IF(AND(_xlfn.XLOOKUP($C$14,_Requeridos!$A$10:$A$20,_Requeridos!$N$10:$N$20,"")="SI",R87=""),"Criterio Clas. 3",""),IF(AND(_xlfn.XLOOKUP($C$14,_Requeridos!$A$10:$A$20,_Requeridos!$O$10:$O$20,"")="SI",S87=""),"Criterio Clas. 4",""),IF(AND(_xlfn.XLOOKUP($C$14,_Requeridos!$A$10:$A$20,_Requeridos!$P$10:$P$20,"")="SI",T87=""),"Criterio Clas. 5",""),IF(AND(_xlfn.XLOOKUP($C$14,_Requeridos!$A$10:$A$20,_Requeridos!$Q$10:$Q$20,"")="SI",U87=""),"Ubicación técnica",""),IF(AND(_xlfn.XLOOKUP($C$14,_Requeridos!$A$10:$A$20,_Requeridos!$R$10:$R$20,"")="SI",X87=""),"Centro",""),IF(AND(_xlfn.XLOOKUP($C$14,_Requeridos!$A$10:$A$20,_Requeridos!$S$10:$S$20,"")="SI",Y87=""),"Código País",""),IF(AND(_xlfn.XLOOKUP($C$14,_Requeridos!$A$10:$A$20,_Requeridos!$T$10:$T$20,"")="SI",Z87=""),"Emplazamiento",""),IF(AND(_xlfn.XLOOKUP($C$14,_Requeridos!$A$10:$A$20,_Requeridos!$U$10:$U$20,"")="SI",AB87=""),"Centro de Costo",""),IF(AND(_xlfn.XLOOKUP($C$14,_Requeridos!$A$10:$A$20,_Requeridos!$V$10:$V$20,"")="SI",AC87=""),"Número de personal",""),IF(AND(_xlfn.XLOOKUP($C$14,_Requeridos!$A$10:$A$20,_Requeridos!$W$10:$W$20,"")="SI",AH87=""),"Valor Unitario","")))&gt;0,"⚠️ Faltan: "&amp;_xlfn.TEXTJOIN(", ",TRUE,IF(AND(_xlfn.XLOOKUP($C$14,_Requeridos!$A$10:$A$20,_Requeridos!$B$10:$B$20,"")="SI",C87=""),"Orden de Inversión",""),IF(AND(_xlfn.XLOOKUP($C$14,_Requeridos!$A$10:$A$20,_Requeridos!$C$10:$C$20,"")="SI",D87=""),"Elemento PEP",""),IF(AND(_xlfn.XLOOKUP($C$14,_Requeridos!$A$10:$A$20,_Requeridos!$D$10:$D$20,"")="SI",E87=""),"Pedido",""),IF(AND(_xlfn.XLOOKUP($C$14,_Requeridos!$A$10:$A$20,_Requeridos!$E$10:$E$20,"")="SI",F87=""),"Descripción Activo SAP",""),IF(AND(_xlfn.XLOOKUP($C$14,_Requeridos!$A$10:$A$20,_Requeridos!$F$10:$F$20,"")="SI",G87=""),"Clase",""),IF(AND(_xlfn.XLOOKUP($C$14,_Requeridos!$A$10:$A$20,_Requeridos!$G$10:$G$20,"")="SI",H87=""),"Cantidad",""),IF(AND(_xlfn.XLOOKUP($C$14,_Requeridos!$A$10:$A$20,_Requeridos!$H$10:$H$20,"")="SI",I87=""),"Nombre principal AF",""),IF(AND(_xlfn.XLOOKUP($C$14,_Requeridos!$A$10:$A$20,_Requeridos!$I$10:$I$20,"")="SI",L87=""),"Fabricante",""),IF(AND(_xlfn.XLOOKUP($C$14,_Requeridos!$A$10:$A$20,_Requeridos!$J$10:$J$20,"")="SI",M87=""),"Nit Proveedor",""),IF(AND(_xlfn.XLOOKUP($C$14,_Requeridos!$A$10:$A$20,_Requeridos!$K$10:$K$20,"")="SI",N87=""),"Serie",""),IF(AND(_xlfn.XLOOKUP($C$14,_Requeridos!$A$10:$A$20,_Requeridos!$L$10:$L$20,"")="SI",P87=""),"Criterio Clas. 1",""),IF(AND(_xlfn.XLOOKUP($C$14,_Requeridos!$A$10:$A$20,_Requeridos!$M$10:$M$20,"")="SI",Q87=""),"Criterio Clas. 2",""),IF(AND(_xlfn.XLOOKUP($C$14,_Requeridos!$A$10:$A$20,_Requeridos!$N$10:$N$20,"")="SI",R87=""),"Criterio Clas. 3",""),IF(AND(_xlfn.XLOOKUP($C$14,_Requeridos!$A$10:$A$20,_Requeridos!$O$10:$O$20,"")="SI",S87=""),"Criterio Clas. 4",""),IF(AND(_xlfn.XLOOKUP($C$14,_Requeridos!$A$10:$A$20,_Requeridos!$P$10:$P$20,"")="SI",T87=""),"Criterio Clas. 5",""),IF(AND(_xlfn.XLOOKUP($C$14,_Requeridos!$A$10:$A$20,_Requeridos!$Q$10:$Q$20,"")="SI",U87=""),"Ubicación técnica",""),IF(AND(_xlfn.XLOOKUP($C$14,_Requeridos!$A$10:$A$20,_Requeridos!$R$10:$R$20,"")="SI",X87=""),"Centro",""),IF(AND(_xlfn.XLOOKUP($C$14,_Requeridos!$A$10:$A$20,_Requeridos!$S$10:$S$20,"")="SI",Y87=""),"Código País",""),IF(AND(_xlfn.XLOOKUP($C$14,_Requeridos!$A$10:$A$20,_Requeridos!$T$10:$T$20,"")="SI",Z87=""),"Emplazamiento",""),IF(AND(_xlfn.XLOOKUP($C$14,_Requeridos!$A$10:$A$20,_Requeridos!$U$10:$U$20,"")="SI",AB87=""),"Centro de Costo",""),IF(AND(_xlfn.XLOOKUP($C$14,_Requeridos!$A$10:$A$20,_Requeridos!$V$10:$V$20,"")="SI",AC87=""),"Número de personal",""),IF(AND(_xlfn.XLOOKUP($C$14,_Requeridos!$A$10:$A$20,_Requeridos!$W$10:$W$20,"")="SI",AH87=""),"Valor Unitario","")),"✅ Completo"))</f>
        <v/>
      </c>
      <c r="AK87" s="52"/>
    </row>
    <row r="88" spans="1:37" s="37" customFormat="1" x14ac:dyDescent="0.35">
      <c r="A88" s="31"/>
      <c r="B88" s="56">
        <v>67</v>
      </c>
      <c r="C88" s="57"/>
      <c r="D88" s="57"/>
      <c r="E88" s="57"/>
      <c r="F88" s="57"/>
      <c r="G88" s="58"/>
      <c r="H88" s="57"/>
      <c r="I88" s="59"/>
      <c r="J88" s="57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57"/>
      <c r="AC88" s="57"/>
      <c r="AD88" s="58"/>
      <c r="AE88" s="57"/>
      <c r="AF88" s="57"/>
      <c r="AG88" s="60"/>
      <c r="AH88" s="57"/>
      <c r="AI88" s="61"/>
      <c r="AJ88" s="62"/>
      <c r="AK88" s="52"/>
    </row>
    <row r="89" spans="1:37" s="37" customFormat="1" x14ac:dyDescent="0.35">
      <c r="A89" s="31"/>
      <c r="B89" s="56">
        <v>68</v>
      </c>
      <c r="C89" s="57"/>
      <c r="D89" s="57"/>
      <c r="E89" s="57"/>
      <c r="F89" s="57"/>
      <c r="G89" s="58"/>
      <c r="H89" s="57"/>
      <c r="I89" s="59"/>
      <c r="J89" s="57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7"/>
      <c r="AC89" s="57"/>
      <c r="AD89" s="58"/>
      <c r="AE89" s="57"/>
      <c r="AF89" s="57"/>
      <c r="AG89" s="60"/>
      <c r="AH89" s="57"/>
      <c r="AI89" s="61"/>
      <c r="AJ89" s="62"/>
      <c r="AK89" s="52"/>
    </row>
    <row r="90" spans="1:37" x14ac:dyDescent="0.35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</row>
    <row r="91" spans="1:37" x14ac:dyDescent="0.35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</row>
    <row r="92" spans="1:37" x14ac:dyDescent="0.35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</row>
    <row r="93" spans="1:37" x14ac:dyDescent="0.35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</row>
  </sheetData>
  <sheetProtection sheet="1" formatCells="0" formatColumns="0" formatRows="0" sort="0" autoFilter="0"/>
  <mergeCells count="3">
    <mergeCell ref="D14:F19"/>
    <mergeCell ref="AG20:AI20"/>
    <mergeCell ref="B11:AJ12"/>
  </mergeCells>
  <conditionalFormatting sqref="AJ22:AJ89">
    <cfRule type="containsText" dxfId="1" priority="1" operator="containsText" text="Faltan">
      <formula>NOT(ISERROR(SEARCH("Faltan",AJ22)))</formula>
    </cfRule>
    <cfRule type="containsText" dxfId="0" priority="2" operator="containsText" text="Completo">
      <formula>NOT(ISERROR(SEARCH("Completo",AJ22)))</formula>
    </cfRule>
  </conditionalFormatting>
  <dataValidations count="1">
    <dataValidation type="list" allowBlank="1" showInputMessage="1" showErrorMessage="1" sqref="F88 G22:G87" xr:uid="{45BF9AC4-8139-4A34-828A-42C8137B2C3D}">
      <formula1>INDIRECT($C$14)</formula1>
    </dataValidation>
  </dataValidations>
  <pageMargins left="0.7" right="0.7" top="0.75" bottom="0.75" header="0.3" footer="0.3"/>
  <headerFooter>
    <oddFooter>&amp;L_x000D_&amp;1#&amp;"Aptos"&amp;14&amp;K000000 Información Interna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3451DF5D-7646-E04A-8E16-A8D315294131}">
          <x14:formula1>
            <xm:f>Sociedades!$A$2:$A$10</xm:f>
          </x14:formula1>
          <xm:sqref>C14</xm:sqref>
        </x14:dataValidation>
        <x14:dataValidation type="list" allowBlank="1" showInputMessage="1" showErrorMessage="1" promptTitle="Descripción Activo SAP" prompt="Selecciona la clase según la sociedad elegida en C5" xr:uid="{626C3F43-C512-A942-9FAA-FBB43920D19C}">
          <x14:formula1>
            <xm:f>_ListasClase!$A$2:$A$300</xm:f>
          </x14:formula1>
          <xm:sqref>F22:F87</xm:sqref>
        </x14:dataValidation>
        <x14:dataValidation type="list" allowBlank="1" showInputMessage="1" showErrorMessage="1" promptTitle="Criterio de Clasificación 1" prompt="Selecciona según la sociedad elegida en C5" xr:uid="{2C26D396-8FA1-8E43-9F41-077AC98C2F19}">
          <x14:formula1>
            <xm:f>_ListasClase!$C$2:$C$150</xm:f>
          </x14:formula1>
          <xm:sqref>P22:P87</xm:sqref>
        </x14:dataValidation>
        <x14:dataValidation type="list" allowBlank="1" showInputMessage="1" showErrorMessage="1" promptTitle="Criterio de Clasificación 2" prompt="Selecciona según la sociedad elegida en C5" xr:uid="{FE71BD2B-EDEF-454F-B1D4-797C0FDC713D}">
          <x14:formula1>
            <xm:f>_ListasClase!$E$2:$E$150</xm:f>
          </x14:formula1>
          <xm:sqref>Q22:Q87</xm:sqref>
        </x14:dataValidation>
        <x14:dataValidation type="list" allowBlank="1" showInputMessage="1" showErrorMessage="1" promptTitle="Criterio de Clasificación 3" prompt="Selecciona según la sociedad elegida en C5" xr:uid="{6C2F1216-D122-2B42-97BA-71BD51251A4E}">
          <x14:formula1>
            <xm:f>_ListasClase!$G$2:$G$150</xm:f>
          </x14:formula1>
          <xm:sqref>R22:R87</xm:sqref>
        </x14:dataValidation>
        <x14:dataValidation type="list" allowBlank="1" showInputMessage="1" showErrorMessage="1" promptTitle="Criterio de Clasificación 4" prompt="Selecciona según la sociedad elegida en C5" xr:uid="{8B5AF8B9-BFC2-064A-8A17-47BC008DE471}">
          <x14:formula1>
            <xm:f>_ListasClase!$I$2:$I$150</xm:f>
          </x14:formula1>
          <xm:sqref>S22:S87</xm:sqref>
        </x14:dataValidation>
        <x14:dataValidation type="list" allowBlank="1" showInputMessage="1" showErrorMessage="1" promptTitle="Criterio de Clasificación 5" prompt="Selecciona según la sociedad elegida en C5" xr:uid="{3F3CFD9A-16F4-FD49-99F1-DC126E96122E}">
          <x14:formula1>
            <xm:f>_ListasClase!$K$2:$K$150</xm:f>
          </x14:formula1>
          <xm:sqref>T22:T87</xm:sqref>
        </x14:dataValidation>
        <x14:dataValidation type="list" allowBlank="1" showInputMessage="1" showErrorMessage="1" promptTitle="Emplazamiento" prompt="Selecciona según la sociedad elegida en C5" xr:uid="{B8C26A52-6F18-6341-A0CD-8D55C7090860}">
          <x14:formula1>
            <xm:f>_ListasClase!$M$2:$M$1500</xm:f>
          </x14:formula1>
          <xm:sqref>Z22:Z87</xm:sqref>
        </x14:dataValidation>
        <x14:dataValidation type="list" allowBlank="1" showInputMessage="1" showErrorMessage="1" promptTitle="Centro de Costo" prompt="Selecciona según la sociedad elegida en C5" xr:uid="{05274F5B-1FBC-1C43-AC74-BBC097ADDD3D}">
          <x14:formula1>
            <xm:f>_ListasClase!$O$2:$O$1000</xm:f>
          </x14:formula1>
          <xm:sqref>AB22:AB87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2AE24-E96C-4BE1-9A61-66164E197815}">
  <sheetPr>
    <tabColor theme="3" tint="0.249977111117893"/>
  </sheetPr>
  <dimension ref="A1:AY2"/>
  <sheetViews>
    <sheetView workbookViewId="0">
      <selection activeCell="K20" sqref="K20"/>
    </sheetView>
  </sheetViews>
  <sheetFormatPr baseColWidth="10" defaultColWidth="11.453125" defaultRowHeight="14.5" x14ac:dyDescent="0.35"/>
  <cols>
    <col min="3" max="3" width="17.453125" customWidth="1"/>
    <col min="5" max="5" width="32.1796875" bestFit="1" customWidth="1"/>
    <col min="6" max="6" width="38.453125" bestFit="1" customWidth="1"/>
    <col min="18" max="18" width="36.54296875" bestFit="1" customWidth="1"/>
    <col min="36" max="36" width="11.6328125" customWidth="1"/>
  </cols>
  <sheetData>
    <row r="1" spans="1:51" x14ac:dyDescent="0.35">
      <c r="A1" t="s">
        <v>1369</v>
      </c>
      <c r="B1" t="s">
        <v>1370</v>
      </c>
      <c r="C1" t="s">
        <v>1371</v>
      </c>
      <c r="D1" t="s">
        <v>1372</v>
      </c>
      <c r="E1" t="s">
        <v>1373</v>
      </c>
      <c r="F1" t="s">
        <v>1374</v>
      </c>
      <c r="G1" t="s">
        <v>1375</v>
      </c>
      <c r="H1" t="s">
        <v>1376</v>
      </c>
      <c r="I1" t="s">
        <v>1377</v>
      </c>
      <c r="J1" t="s">
        <v>1378</v>
      </c>
      <c r="K1" t="s">
        <v>1379</v>
      </c>
      <c r="L1" t="s">
        <v>1380</v>
      </c>
      <c r="M1" t="s">
        <v>1381</v>
      </c>
      <c r="N1" t="s">
        <v>1382</v>
      </c>
      <c r="O1" t="s">
        <v>1383</v>
      </c>
      <c r="P1" t="s">
        <v>1384</v>
      </c>
      <c r="Q1" t="s">
        <v>1385</v>
      </c>
      <c r="R1" t="s">
        <v>1386</v>
      </c>
      <c r="S1" t="s">
        <v>1387</v>
      </c>
      <c r="T1" t="s">
        <v>1388</v>
      </c>
      <c r="U1" t="s">
        <v>1389</v>
      </c>
      <c r="V1" t="s">
        <v>1390</v>
      </c>
      <c r="W1" t="s">
        <v>1391</v>
      </c>
      <c r="X1" t="s">
        <v>1392</v>
      </c>
      <c r="Y1" t="s">
        <v>1393</v>
      </c>
      <c r="Z1" t="s">
        <v>1394</v>
      </c>
      <c r="AA1" t="s">
        <v>1395</v>
      </c>
      <c r="AB1" t="s">
        <v>1396</v>
      </c>
      <c r="AC1" t="s">
        <v>1397</v>
      </c>
      <c r="AD1" t="s">
        <v>1398</v>
      </c>
      <c r="AE1" t="s">
        <v>1399</v>
      </c>
      <c r="AF1" t="s">
        <v>1400</v>
      </c>
      <c r="AG1" t="s">
        <v>1401</v>
      </c>
      <c r="AH1" t="s">
        <v>1402</v>
      </c>
      <c r="AI1" t="s">
        <v>1403</v>
      </c>
      <c r="AJ1" t="s">
        <v>1404</v>
      </c>
      <c r="AK1" t="s">
        <v>1405</v>
      </c>
      <c r="AL1" t="s">
        <v>1406</v>
      </c>
      <c r="AM1" t="s">
        <v>1407</v>
      </c>
      <c r="AN1" t="s">
        <v>1408</v>
      </c>
      <c r="AO1" s="68" t="s">
        <v>1409</v>
      </c>
      <c r="AP1" t="s">
        <v>1410</v>
      </c>
      <c r="AQ1" t="s">
        <v>1411</v>
      </c>
      <c r="AR1" t="s">
        <v>1412</v>
      </c>
      <c r="AS1" t="s">
        <v>1413</v>
      </c>
      <c r="AT1" t="s">
        <v>1414</v>
      </c>
      <c r="AU1" t="s">
        <v>1415</v>
      </c>
      <c r="AV1" t="s">
        <v>1416</v>
      </c>
      <c r="AW1" t="s">
        <v>1417</v>
      </c>
      <c r="AX1" t="s">
        <v>1418</v>
      </c>
      <c r="AY1" t="s">
        <v>1419</v>
      </c>
    </row>
    <row r="2" spans="1:51" x14ac:dyDescent="0.35">
      <c r="A2" t="str">
        <f>Formato!G22</f>
        <v>A451217</v>
      </c>
      <c r="B2" t="str">
        <f>Formato!C14</f>
        <v>ISA</v>
      </c>
      <c r="C2">
        <f>Formato!H22</f>
        <v>1</v>
      </c>
      <c r="E2" t="str">
        <f>Formato!I22</f>
        <v>Controlador campo - Prueba 100</v>
      </c>
      <c r="F2" t="str">
        <f>Formato!J22</f>
        <v>Controlador campo - Prueba 3</v>
      </c>
      <c r="G2" t="str">
        <f>Formato!K22</f>
        <v>Controlador campo - Prueba 3</v>
      </c>
      <c r="H2" t="str">
        <f>Formato!N22</f>
        <v>BM2501019994</v>
      </c>
      <c r="I2" t="str">
        <f>IF(Formato!AA22="","",Formato!AA22)</f>
        <v/>
      </c>
      <c r="J2">
        <v>1</v>
      </c>
      <c r="K2" t="s">
        <v>1509</v>
      </c>
      <c r="Q2" t="str">
        <f>Formato!N22</f>
        <v>BM2501019994</v>
      </c>
      <c r="R2" t="str">
        <f>Formato!D22</f>
        <v>RI-POAS1-1.2.02</v>
      </c>
      <c r="S2" s="73">
        <v>3208</v>
      </c>
      <c r="T2">
        <f>Formato!AB22</f>
        <v>10004</v>
      </c>
      <c r="U2">
        <f>Formato!AD22</f>
        <v>10004</v>
      </c>
      <c r="W2" t="str">
        <f>Formato!X22</f>
        <v xml:space="preserve">Tran </v>
      </c>
      <c r="X2" t="str">
        <f>IF(Formato!C22="","",Formato!C22)</f>
        <v/>
      </c>
      <c r="Z2" s="72" t="s">
        <v>1515</v>
      </c>
      <c r="AB2">
        <f>Formato!W22</f>
        <v>4510014034</v>
      </c>
      <c r="AJ2" t="str">
        <f>IF(Formato!P22="","",Formato!P22)</f>
        <v/>
      </c>
      <c r="AK2" t="str">
        <f>IF(Formato!Q22="","",Formato!Q22)</f>
        <v/>
      </c>
      <c r="AL2" t="str">
        <f>Formato!R22</f>
        <v xml:space="preserve">IC03 </v>
      </c>
      <c r="AM2" t="str">
        <f>IF(Formato!S22="","",Formato!S22)</f>
        <v/>
      </c>
      <c r="AN2" t="str">
        <f>Formato!T22</f>
        <v xml:space="preserve">P003S009 </v>
      </c>
      <c r="AR2" t="str">
        <f>IF(Formato!M22="","",Formato!M22)</f>
        <v/>
      </c>
      <c r="AS2" t="str">
        <f>Formato!L22</f>
        <v>SIEMENS</v>
      </c>
      <c r="AV2" t="str">
        <f>IF(Formato!Y22="","",Formato!Y22)</f>
        <v/>
      </c>
      <c r="AW2" t="str">
        <f>IF(Formato!O22="","",Formato!O22)</f>
        <v/>
      </c>
      <c r="AX2" t="str">
        <f>IF(Formato!C22="","",Formato!C22)</f>
        <v/>
      </c>
      <c r="AY2" t="str">
        <f>Formato!D22</f>
        <v>RI-POAS1-1.2.02</v>
      </c>
    </row>
  </sheetData>
  <pageMargins left="0.7" right="0.7" top="0.75" bottom="0.75" header="0.3" footer="0.3"/>
  <headerFooter>
    <oddFooter>&amp;L_x000D_&amp;1#&amp;"Aptos"&amp;14&amp;K000000 Información Interna</oddFooter>
  </headerFooter>
</worksheet>
</file>

<file path=docMetadata/LabelInfo.xml><?xml version="1.0" encoding="utf-8"?>
<clbl:labelList xmlns:clbl="http://schemas.microsoft.com/office/2020/mipLabelMetadata">
  <clbl:label id="{d37cf70c-1091-499f-b577-72ba042c00d1}" enabled="1" method="Standard" siteId="{c980e410-0b5c-48bc-bd1a-8b91cabc84b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Sociedades</vt:lpstr>
      <vt:lpstr>Clase</vt:lpstr>
      <vt:lpstr>Criterio </vt:lpstr>
      <vt:lpstr>Ceco</vt:lpstr>
      <vt:lpstr>Emplazamiento</vt:lpstr>
      <vt:lpstr>_ListasClase</vt:lpstr>
      <vt:lpstr>_Requeridos</vt:lpstr>
      <vt:lpstr>Check list</vt:lpstr>
      <vt:lpstr>Formato</vt:lpstr>
      <vt:lpstr>LSMW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jenny catalina culma veloza</dc:creator>
  <cp:keywords/>
  <dc:description/>
  <cp:lastModifiedBy>HI_E JENNY CATALINA CULMA VELOZA</cp:lastModifiedBy>
  <cp:revision/>
  <dcterms:created xsi:type="dcterms:W3CDTF">2026-04-13T03:12:18Z</dcterms:created>
  <dcterms:modified xsi:type="dcterms:W3CDTF">2026-06-17T19:37:01Z</dcterms:modified>
  <cp:category/>
  <cp:contentStatus/>
</cp:coreProperties>
</file>